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_analyst\excel\excel mini project1\"/>
    </mc:Choice>
  </mc:AlternateContent>
  <xr:revisionPtr revIDLastSave="0" documentId="13_ncr:1_{13183A81-BDE9-464C-99F3-633464C93AE8}" xr6:coauthVersionLast="47" xr6:coauthVersionMax="47" xr10:uidLastSave="{00000000-0000-0000-0000-000000000000}"/>
  <bookViews>
    <workbookView xWindow="-108" yWindow="-108" windowWidth="23256" windowHeight="12456" activeTab="4" xr2:uid="{E381D468-FE71-442D-8B51-6A8E893EBCB8}"/>
  </bookViews>
  <sheets>
    <sheet name="clean_data" sheetId="3" r:id="rId1"/>
    <sheet name="cleaning_log" sheetId="1" r:id="rId2"/>
    <sheet name="Analysis" sheetId="4" r:id="rId3"/>
    <sheet name="pivot_tables" sheetId="5" r:id="rId4"/>
    <sheet name="Dashboard" sheetId="6" r:id="rId5"/>
  </sheets>
  <definedNames>
    <definedName name="ExternalData_1" localSheetId="0" hidden="1">clean_data!$A$1:$K$1001</definedName>
    <definedName name="Slicer_Category">#N/A</definedName>
    <definedName name="Slicer_Region">#N/A</definedName>
    <definedName name="Slicer_Salespers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4" l="1"/>
  <c r="I4" i="4"/>
  <c r="I3" i="4"/>
  <c r="I2" i="4"/>
  <c r="U2" i="4"/>
  <c r="E2" i="4"/>
  <c r="C2" i="4"/>
  <c r="A2" i="4"/>
  <c r="G13" i="4"/>
  <c r="G12" i="4"/>
  <c r="G11" i="4"/>
  <c r="G10" i="4"/>
  <c r="G9" i="4"/>
  <c r="B11" i="4"/>
  <c r="B10" i="4"/>
  <c r="B9" i="4"/>
  <c r="L2" i="3"/>
  <c r="L3" i="3"/>
  <c r="L4" i="3"/>
  <c r="L5" i="3"/>
  <c r="L6" i="3"/>
  <c r="L7" i="3"/>
  <c r="L8" i="3"/>
  <c r="L9" i="3"/>
  <c r="L10" i="3"/>
  <c r="L11" i="3"/>
  <c r="L12" i="3"/>
  <c r="L13" i="3"/>
  <c r="L14" i="3"/>
  <c r="L15" i="3"/>
  <c r="L16" i="3"/>
  <c r="L17" i="3"/>
  <c r="L18" i="3"/>
  <c r="L19" i="3"/>
  <c r="L20" i="3"/>
  <c r="L22" i="3"/>
  <c r="L23" i="3"/>
  <c r="L24" i="3"/>
  <c r="L25" i="3"/>
  <c r="L26" i="3"/>
  <c r="L27" i="3"/>
  <c r="L28" i="3"/>
  <c r="L29" i="3"/>
  <c r="L30" i="3"/>
  <c r="L31" i="3"/>
  <c r="L32" i="3"/>
  <c r="L33" i="3"/>
  <c r="L34" i="3"/>
  <c r="L35" i="3"/>
  <c r="L36" i="3"/>
  <c r="L37" i="3"/>
  <c r="L38" i="3"/>
  <c r="L39" i="3"/>
  <c r="L40" i="3"/>
  <c r="L42" i="3"/>
  <c r="L43" i="3"/>
  <c r="L44" i="3"/>
  <c r="L45" i="3"/>
  <c r="L46" i="3"/>
  <c r="L47" i="3"/>
  <c r="L48" i="3"/>
  <c r="L49" i="3"/>
  <c r="L50" i="3"/>
  <c r="L51" i="3"/>
  <c r="L52" i="3"/>
  <c r="L53" i="3"/>
  <c r="L54" i="3"/>
  <c r="L55" i="3"/>
  <c r="L56" i="3"/>
  <c r="L57" i="3"/>
  <c r="L58" i="3"/>
  <c r="L59" i="3"/>
  <c r="L60" i="3"/>
  <c r="L61" i="3"/>
  <c r="L62" i="3"/>
  <c r="L63" i="3"/>
  <c r="L64" i="3"/>
  <c r="L65" i="3"/>
  <c r="L67" i="3"/>
  <c r="L68"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5" i="3"/>
  <c r="L116" i="3"/>
  <c r="L117" i="3"/>
  <c r="L118" i="3"/>
  <c r="L119" i="3"/>
  <c r="L120" i="3"/>
  <c r="L121" i="3"/>
  <c r="L122" i="3"/>
  <c r="L124" i="3"/>
  <c r="L125" i="3"/>
  <c r="L126" i="3"/>
  <c r="L127" i="3"/>
  <c r="L128" i="3"/>
  <c r="L129" i="3"/>
  <c r="L131" i="3"/>
  <c r="L133" i="3"/>
  <c r="L134" i="3"/>
  <c r="L135" i="3"/>
  <c r="L136" i="3"/>
  <c r="L137" i="3"/>
  <c r="L138" i="3"/>
  <c r="L139" i="3"/>
  <c r="L140" i="3"/>
  <c r="L141" i="3"/>
  <c r="L142" i="3"/>
  <c r="L143" i="3"/>
  <c r="L144" i="3"/>
  <c r="L145" i="3"/>
  <c r="L146" i="3"/>
  <c r="L147" i="3"/>
  <c r="L148" i="3"/>
  <c r="L149" i="3"/>
  <c r="L150" i="3"/>
  <c r="L151" i="3"/>
  <c r="L152" i="3"/>
  <c r="L153" i="3"/>
  <c r="L154" i="3"/>
  <c r="L156" i="3"/>
  <c r="L157" i="3"/>
  <c r="L158" i="3"/>
  <c r="L159" i="3"/>
  <c r="L160" i="3"/>
  <c r="L161" i="3"/>
  <c r="L162" i="3"/>
  <c r="L164" i="3"/>
  <c r="L165" i="3"/>
  <c r="L166" i="3"/>
  <c r="L167" i="3"/>
  <c r="L168" i="3"/>
  <c r="L169" i="3"/>
  <c r="L170" i="3"/>
  <c r="L171" i="3"/>
  <c r="L172"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4" i="3"/>
  <c r="L205" i="3"/>
  <c r="L206" i="3"/>
  <c r="L207" i="3"/>
  <c r="L208" i="3"/>
  <c r="L209" i="3"/>
  <c r="L211" i="3"/>
  <c r="L212" i="3"/>
  <c r="L213" i="3"/>
  <c r="L214" i="3"/>
  <c r="L215" i="3"/>
  <c r="L216" i="3"/>
  <c r="L217" i="3"/>
  <c r="L219" i="3"/>
  <c r="L220" i="3"/>
  <c r="L221" i="3"/>
  <c r="L222" i="3"/>
  <c r="L223" i="3"/>
  <c r="L224" i="3"/>
  <c r="L225" i="3"/>
  <c r="L226"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5" i="3"/>
  <c r="L256" i="3"/>
  <c r="L257" i="3"/>
  <c r="L258" i="3"/>
  <c r="L259" i="3"/>
  <c r="L260"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4" i="3"/>
  <c r="L295" i="3"/>
  <c r="L296" i="3"/>
  <c r="L297" i="3"/>
  <c r="L299" i="3"/>
  <c r="L301" i="3"/>
  <c r="L302" i="3"/>
  <c r="L303" i="3"/>
  <c r="L304" i="3"/>
  <c r="L305" i="3"/>
  <c r="L306" i="3"/>
  <c r="L307" i="3"/>
  <c r="L309" i="3"/>
  <c r="L310" i="3"/>
  <c r="L311" i="3"/>
  <c r="L312" i="3"/>
  <c r="L313" i="3"/>
  <c r="L314" i="3"/>
  <c r="L315" i="3"/>
  <c r="L316" i="3"/>
  <c r="L317" i="3"/>
  <c r="L318" i="3"/>
  <c r="L319" i="3"/>
  <c r="L321" i="3"/>
  <c r="L322" i="3"/>
  <c r="L323" i="3"/>
  <c r="L324" i="3"/>
  <c r="L326" i="3"/>
  <c r="L327" i="3"/>
  <c r="L328" i="3"/>
  <c r="L329" i="3"/>
  <c r="L330" i="3"/>
  <c r="L332" i="3"/>
  <c r="L333" i="3"/>
  <c r="L334" i="3"/>
  <c r="L335" i="3"/>
  <c r="L336" i="3"/>
  <c r="L338" i="3"/>
  <c r="L339" i="3"/>
  <c r="L340"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8" i="3"/>
  <c r="L369" i="3"/>
  <c r="L370" i="3"/>
  <c r="L371" i="3"/>
  <c r="L372" i="3"/>
  <c r="L373" i="3"/>
  <c r="L374" i="3"/>
  <c r="L375" i="3"/>
  <c r="L376" i="3"/>
  <c r="L377" i="3"/>
  <c r="L378" i="3"/>
  <c r="L379" i="3"/>
  <c r="L380" i="3"/>
  <c r="L381" i="3"/>
  <c r="L382" i="3"/>
  <c r="L383" i="3"/>
  <c r="L384" i="3"/>
  <c r="L385" i="3"/>
  <c r="L386" i="3"/>
  <c r="L387" i="3"/>
  <c r="L388" i="3"/>
  <c r="L389" i="3"/>
  <c r="L390"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2" i="3"/>
  <c r="L423" i="3"/>
  <c r="L424" i="3"/>
  <c r="L425" i="3"/>
  <c r="L426" i="3"/>
  <c r="L427" i="3"/>
  <c r="L428" i="3"/>
  <c r="L429" i="3"/>
  <c r="L431" i="3"/>
  <c r="L432" i="3"/>
  <c r="L433" i="3"/>
  <c r="L434" i="3"/>
  <c r="L435" i="3"/>
  <c r="L436" i="3"/>
  <c r="L437" i="3"/>
  <c r="L438" i="3"/>
  <c r="L439" i="3"/>
  <c r="L440"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8" i="3"/>
  <c r="L509" i="3"/>
  <c r="L510" i="3"/>
  <c r="L512" i="3"/>
  <c r="L513" i="3"/>
  <c r="L514" i="3"/>
  <c r="L515" i="3"/>
  <c r="L516" i="3"/>
  <c r="L517" i="3"/>
  <c r="L518" i="3"/>
  <c r="L519" i="3"/>
  <c r="L520" i="3"/>
  <c r="L521" i="3"/>
  <c r="L522" i="3"/>
  <c r="L523" i="3"/>
  <c r="L524" i="3"/>
  <c r="L525" i="3"/>
  <c r="L526" i="3"/>
  <c r="L527" i="3"/>
  <c r="L528" i="3"/>
  <c r="L529" i="3"/>
  <c r="L530" i="3"/>
  <c r="L531" i="3"/>
  <c r="L532" i="3"/>
  <c r="L533" i="3"/>
  <c r="L535" i="3"/>
  <c r="L536" i="3"/>
  <c r="L537" i="3"/>
  <c r="L539" i="3"/>
  <c r="L540" i="3"/>
  <c r="L541" i="3"/>
  <c r="L542" i="3"/>
  <c r="L543" i="3"/>
  <c r="L544" i="3"/>
  <c r="L546" i="3"/>
  <c r="L547" i="3"/>
  <c r="L548" i="3"/>
  <c r="L549" i="3"/>
  <c r="L550" i="3"/>
  <c r="L551" i="3"/>
  <c r="L552" i="3"/>
  <c r="L554" i="3"/>
  <c r="L555" i="3"/>
  <c r="L556"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7" i="3"/>
  <c r="L598" i="3"/>
  <c r="L599" i="3"/>
  <c r="L600" i="3"/>
  <c r="L601" i="3"/>
  <c r="L602" i="3"/>
  <c r="L603" i="3"/>
  <c r="L604" i="3"/>
  <c r="L605" i="3"/>
  <c r="L606" i="3"/>
  <c r="L607" i="3"/>
  <c r="L608" i="3"/>
  <c r="L609" i="3"/>
  <c r="L610" i="3"/>
  <c r="L611" i="3"/>
  <c r="L612" i="3"/>
  <c r="L613" i="3"/>
  <c r="L614" i="3"/>
  <c r="L615" i="3"/>
  <c r="L617" i="3"/>
  <c r="L618" i="3"/>
  <c r="L619" i="3"/>
  <c r="L620" i="3"/>
  <c r="L622" i="3"/>
  <c r="L623" i="3"/>
  <c r="L624" i="3"/>
  <c r="L625" i="3"/>
  <c r="L626"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2" i="3"/>
  <c r="L823" i="3"/>
  <c r="L824" i="3"/>
  <c r="L825" i="3"/>
  <c r="L826" i="3"/>
  <c r="L827" i="3"/>
  <c r="L829" i="3"/>
  <c r="L830" i="3"/>
  <c r="L831" i="3"/>
  <c r="L832" i="3"/>
  <c r="L833" i="3"/>
  <c r="L834" i="3"/>
  <c r="L835" i="3"/>
  <c r="L836" i="3"/>
  <c r="L837" i="3"/>
  <c r="L838" i="3"/>
  <c r="L839" i="3"/>
  <c r="L840" i="3"/>
  <c r="L841" i="3"/>
  <c r="L842" i="3"/>
  <c r="L843" i="3"/>
  <c r="L845" i="3"/>
  <c r="L847" i="3"/>
  <c r="L848" i="3"/>
  <c r="L849" i="3"/>
  <c r="L850" i="3"/>
  <c r="L851"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1" i="3"/>
  <c r="L912" i="3"/>
  <c r="L913" i="3"/>
  <c r="L914" i="3"/>
  <c r="L916" i="3"/>
  <c r="L917" i="3"/>
  <c r="L918" i="3"/>
  <c r="L919" i="3"/>
  <c r="L920" i="3"/>
  <c r="L921" i="3"/>
  <c r="L922" i="3"/>
  <c r="L923" i="3"/>
  <c r="L924" i="3"/>
  <c r="L925" i="3"/>
  <c r="L926" i="3"/>
  <c r="L927" i="3"/>
  <c r="L928" i="3"/>
  <c r="L929" i="3"/>
  <c r="L930" i="3"/>
  <c r="L931" i="3"/>
  <c r="L932" i="3"/>
  <c r="L933" i="3"/>
  <c r="L934" i="3"/>
  <c r="L935" i="3"/>
  <c r="L936" i="3"/>
  <c r="L937" i="3"/>
  <c r="L938" i="3"/>
  <c r="L939" i="3"/>
  <c r="L941" i="3"/>
  <c r="L942" i="3"/>
  <c r="L943" i="3"/>
  <c r="L944" i="3"/>
  <c r="L945" i="3"/>
  <c r="L946" i="3"/>
  <c r="L947" i="3"/>
  <c r="L948" i="3"/>
  <c r="L949" i="3"/>
  <c r="L950" i="3"/>
  <c r="L951" i="3"/>
  <c r="L953" i="3"/>
  <c r="L954" i="3"/>
  <c r="L955" i="3"/>
  <c r="L957" i="3"/>
  <c r="L958" i="3"/>
  <c r="L959" i="3"/>
  <c r="L960" i="3"/>
  <c r="L962" i="3"/>
  <c r="L963" i="3"/>
  <c r="L964" i="3"/>
  <c r="L965" i="3"/>
  <c r="L966" i="3"/>
  <c r="L967"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H41" i="3"/>
  <c r="L41" i="3" s="1"/>
  <c r="H69" i="3"/>
  <c r="L69" i="3" s="1"/>
  <c r="H123" i="3"/>
  <c r="L123" i="3" s="1"/>
  <c r="H132" i="3"/>
  <c r="L132" i="3" s="1"/>
  <c r="H163" i="3"/>
  <c r="L163" i="3" s="1"/>
  <c r="H173" i="3"/>
  <c r="L173" i="3" s="1"/>
  <c r="H210" i="3"/>
  <c r="L210" i="3" s="1"/>
  <c r="H227" i="3"/>
  <c r="L227" i="3" s="1"/>
  <c r="H261" i="3"/>
  <c r="L261" i="3" s="1"/>
  <c r="H293" i="3"/>
  <c r="L293" i="3" s="1"/>
  <c r="H300" i="3"/>
  <c r="L300" i="3" s="1"/>
  <c r="H308" i="3"/>
  <c r="L308" i="3" s="1"/>
  <c r="H320" i="3"/>
  <c r="L320" i="3" s="1"/>
  <c r="H325" i="3"/>
  <c r="L325" i="3" s="1"/>
  <c r="H441" i="3"/>
  <c r="L441" i="3" s="1"/>
  <c r="H538" i="3"/>
  <c r="L538" i="3" s="1"/>
  <c r="H557" i="3"/>
  <c r="L557" i="3" s="1"/>
  <c r="H596" i="3"/>
  <c r="L596" i="3" s="1"/>
  <c r="H616" i="3"/>
  <c r="L616" i="3" s="1"/>
  <c r="H709" i="3"/>
  <c r="L709" i="3" s="1"/>
  <c r="H828" i="3"/>
  <c r="L828" i="3" s="1"/>
  <c r="H844" i="3"/>
  <c r="L844" i="3" s="1"/>
  <c r="H846" i="3"/>
  <c r="L846" i="3" s="1"/>
  <c r="H852" i="3"/>
  <c r="L852" i="3" s="1"/>
  <c r="H915" i="3"/>
  <c r="L915" i="3" s="1"/>
  <c r="H940" i="3"/>
  <c r="L940" i="3" s="1"/>
  <c r="H961" i="3"/>
  <c r="L961" i="3" s="1"/>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I21" i="3"/>
  <c r="L21" i="3" s="1"/>
  <c r="I66" i="3"/>
  <c r="L66" i="3" s="1"/>
  <c r="I114" i="3"/>
  <c r="L114" i="3" s="1"/>
  <c r="I130" i="3"/>
  <c r="L130" i="3" s="1"/>
  <c r="I155" i="3"/>
  <c r="L155" i="3" s="1"/>
  <c r="I203" i="3"/>
  <c r="L203" i="3" s="1"/>
  <c r="I218" i="3"/>
  <c r="L218" i="3" s="1"/>
  <c r="I254" i="3"/>
  <c r="L254" i="3" s="1"/>
  <c r="I298" i="3"/>
  <c r="L298" i="3" s="1"/>
  <c r="I331" i="3"/>
  <c r="L331" i="3" s="1"/>
  <c r="I337" i="3"/>
  <c r="L337" i="3" s="1"/>
  <c r="I341" i="3"/>
  <c r="L341" i="3" s="1"/>
  <c r="I391" i="3"/>
  <c r="L391" i="3" s="1"/>
  <c r="I421" i="3"/>
  <c r="L421" i="3" s="1"/>
  <c r="I430" i="3"/>
  <c r="L430" i="3" s="1"/>
  <c r="I442" i="3"/>
  <c r="L442" i="3" s="1"/>
  <c r="I507" i="3"/>
  <c r="L507" i="3" s="1"/>
  <c r="I511" i="3"/>
  <c r="L511" i="3" s="1"/>
  <c r="I534" i="3"/>
  <c r="L534" i="3" s="1"/>
  <c r="I545" i="3"/>
  <c r="L545" i="3" s="1"/>
  <c r="I553" i="3"/>
  <c r="L553" i="3" s="1"/>
  <c r="I621" i="3"/>
  <c r="L621" i="3" s="1"/>
  <c r="I627" i="3"/>
  <c r="L627" i="3" s="1"/>
  <c r="I662" i="3"/>
  <c r="L662" i="3" s="1"/>
  <c r="I821" i="3"/>
  <c r="L821" i="3" s="1"/>
  <c r="I910" i="3"/>
  <c r="L910" i="3" s="1"/>
  <c r="I952" i="3"/>
  <c r="L952" i="3" s="1"/>
  <c r="I956" i="3"/>
  <c r="L956" i="3" s="1"/>
  <c r="I968" i="3"/>
  <c r="L968" i="3" s="1"/>
  <c r="O2" i="4" l="1"/>
  <c r="R2" i="4"/>
  <c r="K9" i="4"/>
  <c r="D12" i="4"/>
  <c r="D9" i="4"/>
  <c r="M2" i="4"/>
  <c r="K2" i="4"/>
  <c r="I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2FF4EC-F25A-4E2E-B182-423DFE0D4C66}" keepAlive="1" name="Query - Raw Sales Data" description="Connection to the 'Raw Sales Data' query in the workbook." type="5" refreshedVersion="8" background="1" saveData="1">
    <dbPr connection="Provider=Microsoft.Mashup.OleDb.1;Data Source=$Workbook$;Location=&quot;Raw Sales Data&quot;;Extended Properties=&quot;&quot;" command="SELECT * FROM [Raw Sales Data]"/>
  </connection>
  <connection id="2" xr16:uid="{F374D0DF-B316-4441-9EF7-B9816C48882C}" keepAlive="1" name="Query - Raw Sales Data (2)" description="Connection to the 'Raw Sales Data (2)' query in the workbook." type="5" refreshedVersion="8" background="1" saveData="1">
    <dbPr connection="Provider=Microsoft.Mashup.OleDb.1;Data Source=$Workbook$;Location=&quot;Raw Sales Data (2)&quot;;Extended Properties=&quot;&quot;" command="SELECT * FROM [Raw Sales Data (2)]"/>
  </connection>
</connections>
</file>

<file path=xl/sharedStrings.xml><?xml version="1.0" encoding="utf-8"?>
<sst xmlns="http://schemas.openxmlformats.org/spreadsheetml/2006/main" count="6164" uniqueCount="1106">
  <si>
    <t>Order ID</t>
  </si>
  <si>
    <t>Order Date</t>
  </si>
  <si>
    <t>Customer</t>
  </si>
  <si>
    <t>Region</t>
  </si>
  <si>
    <t>Salesperson</t>
  </si>
  <si>
    <t>Category</t>
  </si>
  <si>
    <t>Product</t>
  </si>
  <si>
    <t>Quantity</t>
  </si>
  <si>
    <t>Unit Price</t>
  </si>
  <si>
    <t>Discount %</t>
  </si>
  <si>
    <t>Sales</t>
  </si>
  <si>
    <t>ORD10001</t>
  </si>
  <si>
    <t>Ritu Sharma</t>
  </si>
  <si>
    <t>Rahul</t>
  </si>
  <si>
    <t>Furniture</t>
  </si>
  <si>
    <t>Cabinet</t>
  </si>
  <si>
    <t>ORD10002</t>
  </si>
  <si>
    <t>Amit Sharma</t>
  </si>
  <si>
    <t>Rohit</t>
  </si>
  <si>
    <t>Electronics</t>
  </si>
  <si>
    <t>Headphones</t>
  </si>
  <si>
    <t>ORD10003</t>
  </si>
  <si>
    <t>Pooja Mehta</t>
  </si>
  <si>
    <t>South</t>
  </si>
  <si>
    <t>Office Supplies</t>
  </si>
  <si>
    <t>File Cabinet</t>
  </si>
  <si>
    <t>ORD10004</t>
  </si>
  <si>
    <t>Nisha Jain</t>
  </si>
  <si>
    <t>Kiran</t>
  </si>
  <si>
    <t>Projector</t>
  </si>
  <si>
    <t>ORD10005</t>
  </si>
  <si>
    <t>Speaker</t>
  </si>
  <si>
    <t>ORD10006</t>
  </si>
  <si>
    <t>Rohan Singh</t>
  </si>
  <si>
    <t>Sneha</t>
  </si>
  <si>
    <t>ORD10007</t>
  </si>
  <si>
    <t>Aditya Joshi</t>
  </si>
  <si>
    <t>ORD10008</t>
  </si>
  <si>
    <t>Priya Patel</t>
  </si>
  <si>
    <t>Ajay</t>
  </si>
  <si>
    <t>Camera</t>
  </si>
  <si>
    <t>ORD10009</t>
  </si>
  <si>
    <t>Mohit Kumar</t>
  </si>
  <si>
    <t>East</t>
  </si>
  <si>
    <t>ORD10010</t>
  </si>
  <si>
    <t>Harsh Patel</t>
  </si>
  <si>
    <t>Tablet</t>
  </si>
  <si>
    <t>ORD10011</t>
  </si>
  <si>
    <t>Ravi Kumar</t>
  </si>
  <si>
    <t>ORD10012</t>
  </si>
  <si>
    <t>Snehal Kulkarni</t>
  </si>
  <si>
    <t>Chair</t>
  </si>
  <si>
    <t>ORD10013</t>
  </si>
  <si>
    <t>Stapler</t>
  </si>
  <si>
    <t>Komal Gupta</t>
  </si>
  <si>
    <t>Scanner</t>
  </si>
  <si>
    <t>ORD10015</t>
  </si>
  <si>
    <t>Deepak Rao</t>
  </si>
  <si>
    <t>West</t>
  </si>
  <si>
    <t>Mouse</t>
  </si>
  <si>
    <t>ORD10016</t>
  </si>
  <si>
    <t>ORD10017</t>
  </si>
  <si>
    <t>Vikram Joshi</t>
  </si>
  <si>
    <t>ORD10018</t>
  </si>
  <si>
    <t>Karan Shah</t>
  </si>
  <si>
    <t>ORD10019</t>
  </si>
  <si>
    <t>Dining Table</t>
  </si>
  <si>
    <t>ORD10020</t>
  </si>
  <si>
    <t>ORD10021</t>
  </si>
  <si>
    <t>Meera Nair</t>
  </si>
  <si>
    <t>North</t>
  </si>
  <si>
    <t>Printer</t>
  </si>
  <si>
    <t>ORD10022</t>
  </si>
  <si>
    <t>Coffee Table</t>
  </si>
  <si>
    <t>ORD10023</t>
  </si>
  <si>
    <t>ORD10024</t>
  </si>
  <si>
    <t>ORD10025</t>
  </si>
  <si>
    <t>Whiteboard</t>
  </si>
  <si>
    <t>ORD10026</t>
  </si>
  <si>
    <t>Laptop</t>
  </si>
  <si>
    <t>ORD10027</t>
  </si>
  <si>
    <t>ORD10028</t>
  </si>
  <si>
    <t>ORD10030</t>
  </si>
  <si>
    <t>ORD10031</t>
  </si>
  <si>
    <t>ORD10032</t>
  </si>
  <si>
    <t>ORD10033</t>
  </si>
  <si>
    <t>Sonia Kapoor</t>
  </si>
  <si>
    <t>ORD10034</t>
  </si>
  <si>
    <t>ORD10035</t>
  </si>
  <si>
    <t>Neha Gupta</t>
  </si>
  <si>
    <t>ORD10036</t>
  </si>
  <si>
    <t>Anjali Verma</t>
  </si>
  <si>
    <t>ORD10037</t>
  </si>
  <si>
    <t>ORD10038</t>
  </si>
  <si>
    <t>ORD10039</t>
  </si>
  <si>
    <t>ORD10040</t>
  </si>
  <si>
    <t>ORD10041</t>
  </si>
  <si>
    <t>ORD10042</t>
  </si>
  <si>
    <t>Bed</t>
  </si>
  <si>
    <t>ORD10043</t>
  </si>
  <si>
    <t>ORD10044</t>
  </si>
  <si>
    <t>ORD10045</t>
  </si>
  <si>
    <t>ORD10046</t>
  </si>
  <si>
    <t>Bookshelf</t>
  </si>
  <si>
    <t>ORD10047</t>
  </si>
  <si>
    <t>ORD10048</t>
  </si>
  <si>
    <t>ORD10050</t>
  </si>
  <si>
    <t>ORD10051</t>
  </si>
  <si>
    <t>ORD10052</t>
  </si>
  <si>
    <t>ORD10053</t>
  </si>
  <si>
    <t>ORD10054</t>
  </si>
  <si>
    <t>ORD10055</t>
  </si>
  <si>
    <t>ORD10056</t>
  </si>
  <si>
    <t>ORD10057</t>
  </si>
  <si>
    <t>ORD10059</t>
  </si>
  <si>
    <t>ORD10060</t>
  </si>
  <si>
    <t>ORD10061</t>
  </si>
  <si>
    <t>Monitor</t>
  </si>
  <si>
    <t>ORD10062</t>
  </si>
  <si>
    <t>ORD10063</t>
  </si>
  <si>
    <t>Keyboard</t>
  </si>
  <si>
    <t>ORD10064</t>
  </si>
  <si>
    <t>ORD10065</t>
  </si>
  <si>
    <t>Aisha Khan</t>
  </si>
  <si>
    <t>ORD10066</t>
  </si>
  <si>
    <t>Sofa</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</si>
  <si>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</si>
  <si>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</si>
  <si>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</si>
  <si>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</si>
  <si>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</si>
  <si>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</si>
  <si>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</si>
  <si>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</si>
  <si>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</si>
  <si>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</si>
  <si>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</si>
  <si>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</si>
  <si>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</si>
  <si>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</si>
  <si>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</si>
  <si>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</si>
  <si>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</si>
  <si>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</si>
  <si>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ORD10086</t>
  </si>
  <si>
    <t>ORD10087</t>
  </si>
  <si>
    <t>ORD10088</t>
  </si>
  <si>
    <t>Smartphone</t>
  </si>
  <si>
    <t>ORD10089</t>
  </si>
  <si>
    <t>ORD10090</t>
  </si>
  <si>
    <t>ORD10091</t>
  </si>
  <si>
    <t>ORD10092</t>
  </si>
  <si>
    <t>ORD10093</t>
  </si>
  <si>
    <t>ORD10094</t>
  </si>
  <si>
    <t>ORD10095</t>
  </si>
  <si>
    <t>ORD10096</t>
  </si>
  <si>
    <t>Desk</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</si>
  <si>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</si>
  <si>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</si>
  <si>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</si>
  <si>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</si>
  <si>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</si>
  <si>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</si>
  <si>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</si>
  <si>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</si>
  <si>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</si>
  <si>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</si>
  <si>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</si>
  <si>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</si>
  <si>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</si>
  <si>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</si>
  <si>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</si>
  <si>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</si>
  <si>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</si>
  <si>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</si>
  <si>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</si>
  <si>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</si>
  <si>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</si>
  <si>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</si>
  <si>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</si>
  <si>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</si>
  <si>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</si>
  <si>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</si>
  <si>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</si>
  <si>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</si>
  <si>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</si>
  <si>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</si>
  <si>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</si>
  <si>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</si>
  <si>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</si>
  <si>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</si>
  <si>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</si>
  <si>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</si>
  <si>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</si>
  <si>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</si>
  <si>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</si>
  <si>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</si>
  <si>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</si>
  <si>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</si>
  <si>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</si>
  <si>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</si>
  <si>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</si>
  <si>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</si>
  <si>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</si>
  <si>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</si>
  <si>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</si>
  <si>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</si>
  <si>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</si>
  <si>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</si>
  <si>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</si>
  <si>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</si>
  <si>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</si>
  <si>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</si>
  <si>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</si>
  <si>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</si>
  <si>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</si>
  <si>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</si>
  <si>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</si>
  <si>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</si>
  <si>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</si>
  <si>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</si>
  <si>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</si>
  <si>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</si>
  <si>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</si>
  <si>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</si>
  <si>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</si>
  <si>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</si>
  <si>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</si>
  <si>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</si>
  <si>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</si>
  <si>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</si>
  <si>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</si>
  <si>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</si>
  <si>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</si>
  <si>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</si>
  <si>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</si>
  <si>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</si>
  <si>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</si>
  <si>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</si>
  <si>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</si>
  <si>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</si>
  <si>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</si>
  <si>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</si>
  <si>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</si>
  <si>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</si>
  <si>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</si>
  <si>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</si>
  <si>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</si>
  <si>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</si>
  <si>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</si>
  <si>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</si>
  <si>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</si>
  <si>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</si>
  <si>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</si>
  <si>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</si>
  <si>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</si>
  <si>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</si>
  <si>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</si>
  <si>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</si>
  <si>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</si>
  <si>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</si>
  <si>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</si>
  <si>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</si>
  <si>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</si>
  <si>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</si>
  <si>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</si>
  <si>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</si>
  <si>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</si>
  <si>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</si>
  <si>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</si>
  <si>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</si>
  <si>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</si>
  <si>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</si>
  <si>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</si>
  <si>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</si>
  <si>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</si>
  <si>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</si>
  <si>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</si>
  <si>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</si>
  <si>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ORD10222</t>
  </si>
  <si>
    <t>ORD10223</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</si>
  <si>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</si>
  <si>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</si>
  <si>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</si>
  <si>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</si>
  <si>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</si>
  <si>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</si>
  <si>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</si>
  <si>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</si>
  <si>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</si>
  <si>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</si>
  <si>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</si>
  <si>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</si>
  <si>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</si>
  <si>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</si>
  <si>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</si>
  <si>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</si>
  <si>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</si>
  <si>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</si>
  <si>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</si>
  <si>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</si>
  <si>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</si>
  <si>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</si>
  <si>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</si>
  <si>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</si>
  <si>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</si>
  <si>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</si>
  <si>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</si>
  <si>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</si>
  <si>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</si>
  <si>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</si>
  <si>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</si>
  <si>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</si>
  <si>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</si>
  <si>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</si>
  <si>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</si>
  <si>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</si>
  <si>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</si>
  <si>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</si>
  <si>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</si>
  <si>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</si>
  <si>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</si>
  <si>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</si>
  <si>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</si>
  <si>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</si>
  <si>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</si>
  <si>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</si>
  <si>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</si>
  <si>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</si>
  <si>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</si>
  <si>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</si>
  <si>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</si>
  <si>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</si>
  <si>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</si>
  <si>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</si>
  <si>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</si>
  <si>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</si>
  <si>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</si>
  <si>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</si>
  <si>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</si>
  <si>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</si>
  <si>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</si>
  <si>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</si>
  <si>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</si>
  <si>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</si>
  <si>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</si>
  <si>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</si>
  <si>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</si>
  <si>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</si>
  <si>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</si>
  <si>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</si>
  <si>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</si>
  <si>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</si>
  <si>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</si>
  <si>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</si>
  <si>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</si>
  <si>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</si>
  <si>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</si>
  <si>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</si>
  <si>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</si>
  <si>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</si>
  <si>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</si>
  <si>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</si>
  <si>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</si>
  <si>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</si>
  <si>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</si>
  <si>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</si>
  <si>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</si>
  <si>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</si>
  <si>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</si>
  <si>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</si>
  <si>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</si>
  <si>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</si>
  <si>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</si>
  <si>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</si>
  <si>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</si>
  <si>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</si>
  <si>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</si>
  <si>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</si>
  <si>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</si>
  <si>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</si>
  <si>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</si>
  <si>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</si>
  <si>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</si>
  <si>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</si>
  <si>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</si>
  <si>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</si>
  <si>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</si>
  <si>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</si>
  <si>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</si>
  <si>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</si>
  <si>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</si>
  <si>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</si>
  <si>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</si>
  <si>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</si>
  <si>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</si>
  <si>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</si>
  <si>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</si>
  <si>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</si>
  <si>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</si>
  <si>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</si>
  <si>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</si>
  <si>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</si>
  <si>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</si>
  <si>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</si>
  <si>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</si>
  <si>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</si>
  <si>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</si>
  <si>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</si>
  <si>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</si>
  <si>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</si>
  <si>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</si>
  <si>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</si>
  <si>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</si>
  <si>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</si>
  <si>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</si>
  <si>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</si>
  <si>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</si>
  <si>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</si>
  <si>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</si>
  <si>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</si>
  <si>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</si>
  <si>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</si>
  <si>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</si>
  <si>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</si>
  <si>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</si>
  <si>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</si>
  <si>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</si>
  <si>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</si>
  <si>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</si>
  <si>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</si>
  <si>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</si>
  <si>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</si>
  <si>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</si>
  <si>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</si>
  <si>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</si>
  <si>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</si>
  <si>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</si>
  <si>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</si>
  <si>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</si>
  <si>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</si>
  <si>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</si>
  <si>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</si>
  <si>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</si>
  <si>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</si>
  <si>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</si>
  <si>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</si>
  <si>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</si>
  <si>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</si>
  <si>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</si>
  <si>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</si>
  <si>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</si>
  <si>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</si>
  <si>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</si>
  <si>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</si>
  <si>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</si>
  <si>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</si>
  <si>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</si>
  <si>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</si>
  <si>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</si>
  <si>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</si>
  <si>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</si>
  <si>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</si>
  <si>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</si>
  <si>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</si>
  <si>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</si>
  <si>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</si>
  <si>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</si>
  <si>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</si>
  <si>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</si>
  <si>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</si>
  <si>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</si>
  <si>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</si>
  <si>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</si>
  <si>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</si>
  <si>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</si>
  <si>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</si>
  <si>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</si>
  <si>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</si>
  <si>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</si>
  <si>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</si>
  <si>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</si>
  <si>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</si>
  <si>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</si>
  <si>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</si>
  <si>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</si>
  <si>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</si>
  <si>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</si>
  <si>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</si>
  <si>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</si>
  <si>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</si>
  <si>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</si>
  <si>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</si>
  <si>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</si>
  <si>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</si>
  <si>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</si>
  <si>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</si>
  <si>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</si>
  <si>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</si>
  <si>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</si>
  <si>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</si>
  <si>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</si>
  <si>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</si>
  <si>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</si>
  <si>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</si>
  <si>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</si>
  <si>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</si>
  <si>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</si>
  <si>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</si>
  <si>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</si>
  <si>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</si>
  <si>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</si>
  <si>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</si>
  <si>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</si>
  <si>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</si>
  <si>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</si>
  <si>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</si>
  <si>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</si>
  <si>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</si>
  <si>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</si>
  <si>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</si>
  <si>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</si>
  <si>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</si>
  <si>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</si>
  <si>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</si>
  <si>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</si>
  <si>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</si>
  <si>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</si>
  <si>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</si>
  <si>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</si>
  <si>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</si>
  <si>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</si>
  <si>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</si>
  <si>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</si>
  <si>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</si>
  <si>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</si>
  <si>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</si>
  <si>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</si>
  <si>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</si>
  <si>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</si>
  <si>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</si>
  <si>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</si>
  <si>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</si>
  <si>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</si>
  <si>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</si>
  <si>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</si>
  <si>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</si>
  <si>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</si>
  <si>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</si>
  <si>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</si>
  <si>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</si>
  <si>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</si>
  <si>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</si>
  <si>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</si>
  <si>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</si>
  <si>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</si>
  <si>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</si>
  <si>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</si>
  <si>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</si>
  <si>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</si>
  <si>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</si>
  <si>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</si>
  <si>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</si>
  <si>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</si>
  <si>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</si>
  <si>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</si>
  <si>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</si>
  <si>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</si>
  <si>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</si>
  <si>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</si>
  <si>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</si>
  <si>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</si>
  <si>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</si>
  <si>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</si>
  <si>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</si>
  <si>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</si>
  <si>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</si>
  <si>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</si>
  <si>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</si>
  <si>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</si>
  <si>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</si>
  <si>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</si>
  <si>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</si>
  <si>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</si>
  <si>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</si>
  <si>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</si>
  <si>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</si>
  <si>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</si>
  <si>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</si>
  <si>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</si>
  <si>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</si>
  <si>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</si>
  <si>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</si>
  <si>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</si>
  <si>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</si>
  <si>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</si>
  <si>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</si>
  <si>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</si>
  <si>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</si>
  <si>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</si>
  <si>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</si>
  <si>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</si>
  <si>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</si>
  <si>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</si>
  <si>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</si>
  <si>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</si>
  <si>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</si>
  <si>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</si>
  <si>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</si>
  <si>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</si>
  <si>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</si>
  <si>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</si>
  <si>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</si>
  <si>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</si>
  <si>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</si>
  <si>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</si>
  <si>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</si>
  <si>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</si>
  <si>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</si>
  <si>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</si>
  <si>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</si>
  <si>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</si>
  <si>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</si>
  <si>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</si>
  <si>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</si>
  <si>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</si>
  <si>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</si>
  <si>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</si>
  <si>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</si>
  <si>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</si>
  <si>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</si>
  <si>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</si>
  <si>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</si>
  <si>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</si>
  <si>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</si>
  <si>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</si>
  <si>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</si>
  <si>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</si>
  <si>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</si>
  <si>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</si>
  <si>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</si>
  <si>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</si>
  <si>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</si>
  <si>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</si>
  <si>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</si>
  <si>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</si>
  <si>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</si>
  <si>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</si>
  <si>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</si>
  <si>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</si>
  <si>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</si>
  <si>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</si>
  <si>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</si>
  <si>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</si>
  <si>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</si>
  <si>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</si>
  <si>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</si>
  <si>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</si>
  <si>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</si>
  <si>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</si>
  <si>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</si>
  <si>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</si>
  <si>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</si>
  <si>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</si>
  <si>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</si>
  <si>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</si>
  <si>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</si>
  <si>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</si>
  <si>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ORD10621</t>
  </si>
  <si>
    <t>ORD10622</t>
  </si>
  <si>
    <t>ORD10623</t>
  </si>
  <si>
    <t>ORD10624</t>
  </si>
  <si>
    <t>ORD10625</t>
  </si>
  <si>
    <t>ORD10626</t>
  </si>
  <si>
    <t>ORD10627</t>
  </si>
  <si>
    <t>ORD10628</t>
  </si>
  <si>
    <t>ORD10629</t>
  </si>
  <si>
    <t>ORD10630</t>
  </si>
  <si>
    <t>ORD10632</t>
  </si>
  <si>
    <t>ORD10633</t>
  </si>
  <si>
    <t>ORD10634</t>
  </si>
  <si>
    <t>ORD10635</t>
  </si>
  <si>
    <t>ORD10636</t>
  </si>
  <si>
    <t>ORD10637</t>
  </si>
  <si>
    <t>ORD10638</t>
  </si>
  <si>
    <t>ORD10639</t>
  </si>
  <si>
    <t>ORD10640</t>
  </si>
  <si>
    <t>ORD10641</t>
  </si>
  <si>
    <t>ORD10642</t>
  </si>
  <si>
    <t>ORD10643</t>
  </si>
  <si>
    <t>ORD10644</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</si>
  <si>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</si>
  <si>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</si>
  <si>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</si>
  <si>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</si>
  <si>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</si>
  <si>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</si>
  <si>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</si>
  <si>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</si>
  <si>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</si>
  <si>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</si>
  <si>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</si>
  <si>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</si>
  <si>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</si>
  <si>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</si>
  <si>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</si>
  <si>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</si>
  <si>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</si>
  <si>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</si>
  <si>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</si>
  <si>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</si>
  <si>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</si>
  <si>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</si>
  <si>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</si>
  <si>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</si>
  <si>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</si>
  <si>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</si>
  <si>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</si>
  <si>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</si>
  <si>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</si>
  <si>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</si>
  <si>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</si>
  <si>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</si>
  <si>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</si>
  <si>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</si>
  <si>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</si>
  <si>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</si>
  <si>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</si>
  <si>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</si>
  <si>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</si>
  <si>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</si>
  <si>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</si>
  <si>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</si>
  <si>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</si>
  <si>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</si>
  <si>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</si>
  <si>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</si>
  <si>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</si>
  <si>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</si>
  <si>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</si>
  <si>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</si>
  <si>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</si>
  <si>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</si>
  <si>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</si>
  <si>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</si>
  <si>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</si>
  <si>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</si>
  <si>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</si>
  <si>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</si>
  <si>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</si>
  <si>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</si>
  <si>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</si>
  <si>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</si>
  <si>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</si>
  <si>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</si>
  <si>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</si>
  <si>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</si>
  <si>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</si>
  <si>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</si>
  <si>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</si>
  <si>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</si>
  <si>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</si>
  <si>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</si>
  <si>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</si>
  <si>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</si>
  <si>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</si>
  <si>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</si>
  <si>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</si>
  <si>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</si>
  <si>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</si>
  <si>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</si>
  <si>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</si>
  <si>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</si>
  <si>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</si>
  <si>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</si>
  <si>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</si>
  <si>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</si>
  <si>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</si>
  <si>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</si>
  <si>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</si>
  <si>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</si>
  <si>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</si>
  <si>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</si>
  <si>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</si>
  <si>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</si>
  <si>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</si>
  <si>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</si>
  <si>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</si>
  <si>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</si>
  <si>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</si>
  <si>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</si>
  <si>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</si>
  <si>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</si>
  <si>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</si>
  <si>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</si>
  <si>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</si>
  <si>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</si>
  <si>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</si>
  <si>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</si>
  <si>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</si>
  <si>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</si>
  <si>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</si>
  <si>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</si>
  <si>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</si>
  <si>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</si>
  <si>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</si>
  <si>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</si>
  <si>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</si>
  <si>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</si>
  <si>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</si>
  <si>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</si>
  <si>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</si>
  <si>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</si>
  <si>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</si>
  <si>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</si>
  <si>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</si>
  <si>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</si>
  <si>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</si>
  <si>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</si>
  <si>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</si>
  <si>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</si>
  <si>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</si>
  <si>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</si>
  <si>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</si>
  <si>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</si>
  <si>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</si>
  <si>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</si>
  <si>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</si>
  <si>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</si>
  <si>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</si>
  <si>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</si>
  <si>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</si>
  <si>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</si>
  <si>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</si>
  <si>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</si>
  <si>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</si>
  <si>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</si>
  <si>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</si>
  <si>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</si>
  <si>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</si>
  <si>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</si>
  <si>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</si>
  <si>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ORD10800</t>
  </si>
  <si>
    <t>ORD10801</t>
  </si>
  <si>
    <t>ORD10802</t>
  </si>
  <si>
    <t>ORD10803</t>
  </si>
  <si>
    <t>ORD10804</t>
  </si>
  <si>
    <t>ORD10805</t>
  </si>
  <si>
    <t>ORD10806</t>
  </si>
  <si>
    <t>ORD10807</t>
  </si>
  <si>
    <t>ORD10808</t>
  </si>
  <si>
    <t>ORD10809</t>
  </si>
  <si>
    <t>ORD10810</t>
  </si>
  <si>
    <t>ORD10811</t>
  </si>
  <si>
    <t>ORD10813</t>
  </si>
  <si>
    <t>ORD10814</t>
  </si>
  <si>
    <t>ORD10815</t>
  </si>
  <si>
    <t>ORD10816</t>
  </si>
  <si>
    <t>ORD10818</t>
  </si>
  <si>
    <t>ORD10819</t>
  </si>
  <si>
    <t>ORD10820</t>
  </si>
  <si>
    <t>ORD10821</t>
  </si>
  <si>
    <t>ORD10822</t>
  </si>
  <si>
    <t>ORD10823</t>
  </si>
  <si>
    <t>ORD10824</t>
  </si>
  <si>
    <t>ORD10825</t>
  </si>
  <si>
    <t>ORD10826</t>
  </si>
  <si>
    <t>ORD10827</t>
  </si>
  <si>
    <t>ORD10828</t>
  </si>
  <si>
    <t>ORD10829</t>
  </si>
  <si>
    <t>ORD10830</t>
  </si>
  <si>
    <t>ORD10832</t>
  </si>
  <si>
    <t>ORD10833</t>
  </si>
  <si>
    <t>ORD10834</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</si>
  <si>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</si>
  <si>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</si>
  <si>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</si>
  <si>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</si>
  <si>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</si>
  <si>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</si>
  <si>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</si>
  <si>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</si>
  <si>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</si>
  <si>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</si>
  <si>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</si>
  <si>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</si>
  <si>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</si>
  <si>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</si>
  <si>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</si>
  <si>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</si>
  <si>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</si>
  <si>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</si>
  <si>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</si>
  <si>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</si>
  <si>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</si>
  <si>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</si>
  <si>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</si>
  <si>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</si>
  <si>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</si>
  <si>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</si>
  <si>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</si>
  <si>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</si>
  <si>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</si>
  <si>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</si>
  <si>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</si>
  <si>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</si>
  <si>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</si>
  <si>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</si>
  <si>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</si>
  <si>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</si>
  <si>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</si>
  <si>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</si>
  <si>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</si>
  <si>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</si>
  <si>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</si>
  <si>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</si>
  <si>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</si>
  <si>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</si>
  <si>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</si>
  <si>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</si>
  <si>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</si>
  <si>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</si>
  <si>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</si>
  <si>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</si>
  <si>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</si>
  <si>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</si>
  <si>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</si>
  <si>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</si>
  <si>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</si>
  <si>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</si>
  <si>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</si>
  <si>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</si>
  <si>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</si>
  <si>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</si>
  <si>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</si>
  <si>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</si>
  <si>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</si>
  <si>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</si>
  <si>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</si>
  <si>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</si>
  <si>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</si>
  <si>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</si>
  <si>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</si>
  <si>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</si>
  <si>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</si>
  <si>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</si>
  <si>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</si>
  <si>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</si>
  <si>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</si>
  <si>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</si>
  <si>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</si>
  <si>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</si>
  <si>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</si>
  <si>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</si>
  <si>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</si>
  <si>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</si>
  <si>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</si>
  <si>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</si>
  <si>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</si>
  <si>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</si>
  <si>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</si>
  <si>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</si>
  <si>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</si>
  <si>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</si>
  <si>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</si>
  <si>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</si>
  <si>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</si>
  <si>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</si>
  <si>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</si>
  <si>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</si>
  <si>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</si>
  <si>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</si>
  <si>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</si>
  <si>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</si>
  <si>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</si>
  <si>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</si>
  <si>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</si>
  <si>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</si>
  <si>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</si>
  <si>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</si>
  <si>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</si>
  <si>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</si>
  <si>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</si>
  <si>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</si>
  <si>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</si>
  <si>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</si>
  <si>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</si>
  <si>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</si>
  <si>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</si>
  <si>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</si>
  <si>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</si>
  <si>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</si>
  <si>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</si>
  <si>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</si>
  <si>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</si>
  <si>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</si>
  <si>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</si>
  <si>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</si>
  <si>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</si>
  <si>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</si>
  <si>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</si>
  <si>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</si>
  <si>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</si>
  <si>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</si>
  <si>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</si>
  <si>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</si>
  <si>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</si>
  <si>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</si>
  <si>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</si>
  <si>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</si>
  <si>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</si>
  <si>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</si>
  <si>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</si>
  <si>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</si>
  <si>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</si>
  <si>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</si>
  <si>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</si>
  <si>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</si>
  <si>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</si>
  <si>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</si>
  <si>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</si>
  <si>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</si>
  <si>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</si>
  <si>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</si>
  <si>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</si>
  <si>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</si>
  <si>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</si>
  <si>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</si>
  <si>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</si>
  <si>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</si>
  <si>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</si>
  <si>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</si>
  <si>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</si>
  <si>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</si>
  <si>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</si>
  <si>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</si>
  <si>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</si>
  <si>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</si>
  <si>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Tv</t>
  </si>
  <si>
    <t>s</t>
  </si>
  <si>
    <t>Issue</t>
  </si>
  <si>
    <t>Count</t>
  </si>
  <si>
    <t>Action Taken</t>
  </si>
  <si>
    <t>Duplicate Id Check</t>
  </si>
  <si>
    <t>Duplicate Order IDs</t>
  </si>
  <si>
    <t>Investigated and retained (not identical rows)</t>
  </si>
  <si>
    <t>Missing Order Dates</t>
  </si>
  <si>
    <t>Left blanks</t>
  </si>
  <si>
    <t>Blank Discount</t>
  </si>
  <si>
    <t>Replaced with 0%</t>
  </si>
  <si>
    <t>Blank Unit Price</t>
  </si>
  <si>
    <t>Calculated using sales/quantity</t>
  </si>
  <si>
    <t>Extra Spaces</t>
  </si>
  <si>
    <t>-</t>
  </si>
  <si>
    <t>Removed using trim()</t>
  </si>
  <si>
    <t>Region inconsistencies</t>
  </si>
  <si>
    <t>Standardized</t>
  </si>
  <si>
    <t>Blank Quantity</t>
  </si>
  <si>
    <t>Calculated using sales/(unit price*(1-discount%/100))</t>
  </si>
  <si>
    <t>total sales</t>
  </si>
  <si>
    <t>total orders</t>
  </si>
  <si>
    <t>total customers</t>
  </si>
  <si>
    <t>Discount Amount</t>
  </si>
  <si>
    <t>total sales by each region</t>
  </si>
  <si>
    <t>best region</t>
  </si>
  <si>
    <t>worst region</t>
  </si>
  <si>
    <t>total sales by each category</t>
  </si>
  <si>
    <t>Best Category</t>
  </si>
  <si>
    <t>total sales by each salesperson</t>
  </si>
  <si>
    <t xml:space="preserve">Kiran </t>
  </si>
  <si>
    <t>Best Salesperson</t>
  </si>
  <si>
    <t>Sum of Sales</t>
  </si>
  <si>
    <t>Row Labels</t>
  </si>
  <si>
    <t>Grand Total</t>
  </si>
  <si>
    <t>sales by region</t>
  </si>
  <si>
    <t>sales by category</t>
  </si>
  <si>
    <t>sales by salesperson</t>
  </si>
  <si>
    <t>Lowest Salesperson</t>
  </si>
  <si>
    <t>Worst Category</t>
  </si>
  <si>
    <t>&lt;01-01-2026</t>
  </si>
  <si>
    <t>Jan</t>
  </si>
  <si>
    <t>Feb</t>
  </si>
  <si>
    <t>Mar</t>
  </si>
  <si>
    <t>sales trend</t>
  </si>
  <si>
    <t>total quantity sold</t>
  </si>
  <si>
    <t>average order value</t>
  </si>
  <si>
    <t>sales by product</t>
  </si>
  <si>
    <t>top product</t>
  </si>
  <si>
    <t>bottom product</t>
  </si>
  <si>
    <t>top 5 Product</t>
  </si>
  <si>
    <t xml:space="preserve">top customer </t>
  </si>
  <si>
    <t>average discount %</t>
  </si>
  <si>
    <t>top 5 customers by purchase</t>
  </si>
  <si>
    <t>Total Sales</t>
  </si>
  <si>
    <t>Orders</t>
  </si>
  <si>
    <t>Customers</t>
  </si>
  <si>
    <t>Average Order Value</t>
  </si>
  <si>
    <t>Average Discount %</t>
  </si>
  <si>
    <t>KPI'S</t>
  </si>
  <si>
    <t>BUSINESS INSIGHTS</t>
  </si>
  <si>
    <t>✓ South region generated the highest sales (₹61.34M).</t>
  </si>
  <si>
    <t>✓ Office Supplies is the best-performing category (₹79.52M).</t>
  </si>
  <si>
    <t>✓ Kiran is the top salesperson (₹46.63M).</t>
  </si>
  <si>
    <t>✓ Printer is the highest-selling product (₹18.56M).</t>
  </si>
  <si>
    <t>✓ Average Order Value is ₹2.17L, indicating high-value transactions.</t>
  </si>
  <si>
    <t>Average discount remains below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</si>
</sst>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3" x14ac:knownFonts="1">
    <font>
      <sz val="11"/>
      <color theme="1"/>
      <name val="Calibri"/>
      <family val="2"/>
      <scheme val="minor"/>
    </font>
    <font>
      <sz val="12"/>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applyAlignment="1">
      <alignment vertical="center" wrapText="1"/>
    </xf>
    <xf numFmtId="2" fontId="0" fillId="0" borderId="0" xfId="0" applyNumberFormat="1"/>
    <xf numFmtId="0" fontId="1" fillId="0" borderId="0" xfId="0" applyFont="1" applyAlignment="1">
      <alignment vertical="center" wrapText="1"/>
    </xf>
    <xf numFmtId="1" fontId="1" fillId="0" borderId="0" xfId="0" applyNumberFormat="1" applyFont="1"/>
    <xf numFmtId="0" fontId="1" fillId="0" borderId="0" xfId="0" applyFont="1"/>
    <xf numFmtId="0" fontId="1" fillId="0" borderId="0" xfId="0" applyFont="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1" applyFont="1"/>
  </cellXfs>
  <cellStyles count="2">
    <cellStyle name="Normal" xfId="0" builtinId="0"/>
    <cellStyle name="Percent" xfId="1" builtinId="5"/>
  </cellStyles>
  <dxfs count="17">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dxf>
    <dxf>
      <numFmt numFmtId="164" formatCode="&quot;₹&quot;\ #,##0.00"/>
    </dxf>
    <dxf>
      <numFmt numFmtId="164" formatCode="&quot;₹&quot;\ #,##0.00"/>
    </dxf>
    <dxf>
      <numFmt numFmtId="1" formatCode="0"/>
    </dxf>
    <dxf>
      <numFmt numFmtId="165" formatCode="&quot;₹&quot;\ #,##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333333"/>
      <color rgb="FF76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[project_1_ABC_Electronics.xlsx]pivot_tables!sales_by_region</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pivot_tables!$A$3:$A$7</c:f>
              <c:strCache>
                <c:ptCount val="4"/>
                <c:pt idx="0">
                  <c:v>East</c:v>
                </c:pt>
                <c:pt idx="1">
                  <c:v>North</c:v>
                </c:pt>
                <c:pt idx="2">
                  <c:v>South</c:v>
                </c:pt>
                <c:pt idx="3">
                  <c:v>West</c:v>
                </c:pt>
              </c:strCache>
            </c:strRef>
          </c:cat>
          <c:val>
            <c:numRef>
              <c:f>pivot_tables!$B$3:$B$7</c:f>
              <c:numCache>
                <c:formatCode>General</c:formatCode>
                <c:ptCount val="4"/>
                <c:pt idx="0">
                  <c:v>41812569.749999978</c:v>
                </c:pt>
                <c:pt idx="1">
                  <c:v>53802543.900000006</c:v>
                </c:pt>
                <c:pt idx="2">
                  <c:v>61336096.399999984</c:v>
                </c:pt>
                <c:pt idx="3">
                  <c:v>60196983.949999996</c:v>
                </c:pt>
              </c:numCache>
            </c:numRef>
          </c:val>
          <c:extLst>
            <c:ext xmlns:c16="http://schemas.microsoft.com/office/drawing/2014/chart" uri="{C3380CC4-5D6E-409C-BE32-E72D297353CC}">
              <c16:uniqueId val="{00000000-4B88-462A-85AF-2336274CAB59}"/>
            </c:ext>
          </c:extLst>
        </c:ser>
        <c:dLbls>
          <c:dLblPos val="outEnd"/>
          <c:showLegendKey val="0"/>
          <c:showVal val="1"/>
          <c:showCatName val="0"/>
          <c:showSerName val="0"/>
          <c:showPercent val="0"/>
          <c:showBubbleSize val="0"/>
        </c:dLbls>
        <c:gapWidth val="100"/>
        <c:overlap val="-24"/>
        <c:axId val="143657327"/>
        <c:axId val="143658767"/>
      </c:barChart>
      <c:catAx>
        <c:axId val="143657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58767"/>
        <c:crosses val="autoZero"/>
        <c:auto val="1"/>
        <c:lblAlgn val="ctr"/>
        <c:lblOffset val="100"/>
        <c:noMultiLvlLbl val="0"/>
      </c:catAx>
      <c:valAx>
        <c:axId val="14365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[project_1_ABC_Electronics.xlsx]pivot_tables!sales_by_category</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pivot_tables!$E$3:$E$6</c:f>
              <c:strCache>
                <c:ptCount val="3"/>
                <c:pt idx="0">
                  <c:v>Electronics</c:v>
                </c:pt>
                <c:pt idx="1">
                  <c:v>Furniture</c:v>
                </c:pt>
                <c:pt idx="2">
                  <c:v>Office Supplies</c:v>
                </c:pt>
              </c:strCache>
            </c:strRef>
          </c:cat>
          <c:val>
            <c:numRef>
              <c:f>pivot_tables!$F$3:$F$6</c:f>
              <c:numCache>
                <c:formatCode>General</c:formatCode>
                <c:ptCount val="3"/>
                <c:pt idx="0">
                  <c:v>72648810.299999952</c:v>
                </c:pt>
                <c:pt idx="1">
                  <c:v>64976355.649999991</c:v>
                </c:pt>
                <c:pt idx="2">
                  <c:v>79523028.049999952</c:v>
                </c:pt>
              </c:numCache>
            </c:numRef>
          </c:val>
          <c:extLst>
            <c:ext xmlns:c16="http://schemas.microsoft.com/office/drawing/2014/chart" uri="{C3380CC4-5D6E-409C-BE32-E72D297353CC}">
              <c16:uniqueId val="{00000000-1548-414A-A7A7-DB8E36D44156}"/>
            </c:ext>
          </c:extLst>
        </c:ser>
        <c:dLbls>
          <c:dLblPos val="outEnd"/>
          <c:showLegendKey val="0"/>
          <c:showVal val="1"/>
          <c:showCatName val="0"/>
          <c:showSerName val="0"/>
          <c:showPercent val="0"/>
          <c:showBubbleSize val="0"/>
        </c:dLbls>
        <c:gapWidth val="100"/>
        <c:overlap val="-24"/>
        <c:axId val="1508300783"/>
        <c:axId val="1508295503"/>
      </c:barChart>
      <c:catAx>
        <c:axId val="1508300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295503"/>
        <c:crosses val="autoZero"/>
        <c:auto val="1"/>
        <c:lblAlgn val="ctr"/>
        <c:lblOffset val="100"/>
        <c:noMultiLvlLbl val="0"/>
      </c:catAx>
      <c:valAx>
        <c:axId val="1508295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30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[project_1_ABC_Electronics.xlsx]pivot_tables!sales_by_salesperson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pivot_tables!$I$3:$I$8</c:f>
              <c:strCache>
                <c:ptCount val="5"/>
                <c:pt idx="0">
                  <c:v>Sneha</c:v>
                </c:pt>
                <c:pt idx="1">
                  <c:v>Rahul</c:v>
                </c:pt>
                <c:pt idx="2">
                  <c:v>Ajay</c:v>
                </c:pt>
                <c:pt idx="3">
                  <c:v>Rohit</c:v>
                </c:pt>
                <c:pt idx="4">
                  <c:v>Kiran</c:v>
                </c:pt>
              </c:strCache>
            </c:strRef>
          </c:cat>
          <c:val>
            <c:numRef>
              <c:f>pivot_tables!$J$3:$J$8</c:f>
              <c:numCache>
                <c:formatCode>General</c:formatCode>
                <c:ptCount val="5"/>
                <c:pt idx="0">
                  <c:v>40673377.300000012</c:v>
                </c:pt>
                <c:pt idx="1">
                  <c:v>40803061.04999999</c:v>
                </c:pt>
                <c:pt idx="2">
                  <c:v>43404867.499999993</c:v>
                </c:pt>
                <c:pt idx="3">
                  <c:v>45903246.250000007</c:v>
                </c:pt>
                <c:pt idx="4">
                  <c:v>46363641.899999991</c:v>
                </c:pt>
              </c:numCache>
            </c:numRef>
          </c:val>
          <c:extLst>
            <c:ext xmlns:c16="http://schemas.microsoft.com/office/drawing/2014/chart" uri="{C3380CC4-5D6E-409C-BE32-E72D297353CC}">
              <c16:uniqueId val="{00000000-29E8-40E1-97E9-4E06A8470BDE}"/>
            </c:ext>
          </c:extLst>
        </c:ser>
        <c:dLbls>
          <c:showLegendKey val="0"/>
          <c:showVal val="0"/>
          <c:showCatName val="0"/>
          <c:showSerName val="0"/>
          <c:showPercent val="0"/>
          <c:showBubbleSize val="0"/>
        </c:dLbls>
        <c:gapWidth val="115"/>
        <c:overlap val="-20"/>
        <c:axId val="435076671"/>
        <c:axId val="435062271"/>
      </c:barChart>
      <c:catAx>
        <c:axId val="435076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62271"/>
        <c:crosses val="autoZero"/>
        <c:auto val="1"/>
        <c:lblAlgn val="ctr"/>
        <c:lblOffset val="100"/>
        <c:noMultiLvlLbl val="0"/>
      </c:catAx>
      <c:valAx>
        <c:axId val="4350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7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[project_1_ABC_Electronics.xlsx]pivot_tables!sales_trend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pivot_tables!$N$2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pivot_tables!$M$3:$M$7</c:f>
              <c:strCache>
                <c:ptCount val="4"/>
                <c:pt idx="0">
                  <c:v>&lt;01-01-2026</c:v>
                </c:pt>
                <c:pt idx="1">
                  <c:v>Jan</c:v>
                </c:pt>
                <c:pt idx="2">
                  <c:v>Feb</c:v>
                </c:pt>
                <c:pt idx="3">
                  <c:v>Mar</c:v>
                </c:pt>
              </c:strCache>
            </c:strRef>
          </c:cat>
          <c:val>
            <c:numRef>
              <c:f>pivot_tables!$N$3:$N$7</c:f>
              <c:numCache>
                <c:formatCode>General</c:formatCode>
                <c:ptCount val="4"/>
                <c:pt idx="0">
                  <c:v>5681560.1500000004</c:v>
                </c:pt>
                <c:pt idx="1">
                  <c:v>76208566.599999979</c:v>
                </c:pt>
                <c:pt idx="2">
                  <c:v>61830982.149999961</c:v>
                </c:pt>
                <c:pt idx="3">
                  <c:v>73427085.099999964</c:v>
                </c:pt>
              </c:numCache>
            </c:numRef>
          </c:val>
          <c:smooth val="0"/>
          <c:extLst>
            <c:ext xmlns:c16="http://schemas.microsoft.com/office/drawing/2014/chart" uri="{C3380CC4-5D6E-409C-BE32-E72D297353CC}">
              <c16:uniqueId val="{00000000-B664-4BFF-BDE0-DEBA6692049F}"/>
            </c:ext>
          </c:extLst>
        </c:ser>
        <c:dLbls>
          <c:dLblPos val="t"/>
          <c:showLegendKey val="0"/>
          <c:showVal val="1"/>
          <c:showCatName val="0"/>
          <c:showSerName val="0"/>
          <c:showPercent val="0"/>
          <c:showBubbleSize val="0"/>
        </c:dLbls>
        <c:marker val="1"/>
        <c:smooth val="0"/>
        <c:axId val="982903023"/>
        <c:axId val="974238815"/>
      </c:lineChart>
      <c:catAx>
        <c:axId val="982903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238815"/>
        <c:crosses val="autoZero"/>
        <c:auto val="1"/>
        <c:lblAlgn val="ctr"/>
        <c:lblOffset val="100"/>
        <c:noMultiLvlLbl val="0"/>
      </c:catAx>
      <c:valAx>
        <c:axId val="974238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90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[project_1_ABC_Electronics.xlsx]pivot_tables!top_5_products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pivot_tables!$E$28:$E$33</c:f>
              <c:strCache>
                <c:ptCount val="5"/>
                <c:pt idx="0">
                  <c:v>Whiteboard</c:v>
                </c:pt>
                <c:pt idx="1">
                  <c:v>Scanner</c:v>
                </c:pt>
                <c:pt idx="2">
                  <c:v>Stapler</c:v>
                </c:pt>
                <c:pt idx="3">
                  <c:v>File Cabinet</c:v>
                </c:pt>
                <c:pt idx="4">
                  <c:v>Printer</c:v>
                </c:pt>
              </c:strCache>
            </c:strRef>
          </c:cat>
          <c:val>
            <c:numRef>
              <c:f>pivot_tables!$F$28:$F$33</c:f>
              <c:numCache>
                <c:formatCode>General</c:formatCode>
                <c:ptCount val="5"/>
                <c:pt idx="0">
                  <c:v>12711506.800000003</c:v>
                </c:pt>
                <c:pt idx="1">
                  <c:v>12862118.150000002</c:v>
                </c:pt>
                <c:pt idx="2">
                  <c:v>13775542.000000004</c:v>
                </c:pt>
                <c:pt idx="3">
                  <c:v>15237199.099999998</c:v>
                </c:pt>
                <c:pt idx="4">
                  <c:v>16557844.5</c:v>
                </c:pt>
              </c:numCache>
            </c:numRef>
          </c:val>
          <c:extLst>
            <c:ext xmlns:c16="http://schemas.microsoft.com/office/drawing/2014/chart" uri="{C3380CC4-5D6E-409C-BE32-E72D297353CC}">
              <c16:uniqueId val="{00000000-F012-4BF9-AA70-761B4855F4ED}"/>
            </c:ext>
          </c:extLst>
        </c:ser>
        <c:dLbls>
          <c:dLblPos val="outEnd"/>
          <c:showLegendKey val="0"/>
          <c:showVal val="1"/>
          <c:showCatName val="0"/>
          <c:showSerName val="0"/>
          <c:showPercent val="0"/>
          <c:showBubbleSize val="0"/>
        </c:dLbls>
        <c:gapWidth val="115"/>
        <c:overlap val="-20"/>
        <c:axId val="421026127"/>
        <c:axId val="1191455903"/>
      </c:barChart>
      <c:catAx>
        <c:axId val="421026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455903"/>
        <c:crosses val="autoZero"/>
        <c:auto val="1"/>
        <c:lblAlgn val="ctr"/>
        <c:lblOffset val="100"/>
        <c:noMultiLvlLbl val="0"/>
      </c:catAx>
      <c:valAx>
        <c:axId val="11914559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02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[project_1_ABC_Electronics.xlsx]pivot_tables!top_5_customers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a:t>
            </a:r>
            <a:r>
              <a:rPr lang="en-US" baseline="0"/>
              <a:t> by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pivot_tables!$I$14:$I$19</c:f>
              <c:strCache>
                <c:ptCount val="5"/>
                <c:pt idx="0">
                  <c:v>Meera Nair</c:v>
                </c:pt>
                <c:pt idx="1">
                  <c:v>Anjali Verma</c:v>
                </c:pt>
                <c:pt idx="2">
                  <c:v>Nisha Jain</c:v>
                </c:pt>
                <c:pt idx="3">
                  <c:v>Neha Gupta</c:v>
                </c:pt>
                <c:pt idx="4">
                  <c:v>Ritu Sharma</c:v>
                </c:pt>
              </c:strCache>
            </c:strRef>
          </c:cat>
          <c:val>
            <c:numRef>
              <c:f>pivot_tables!$J$14:$J$19</c:f>
              <c:numCache>
                <c:formatCode>General</c:formatCode>
                <c:ptCount val="5"/>
                <c:pt idx="0">
                  <c:v>12054374.9</c:v>
                </c:pt>
                <c:pt idx="1">
                  <c:v>12189804.099999998</c:v>
                </c:pt>
                <c:pt idx="2">
                  <c:v>13078638.150000002</c:v>
                </c:pt>
                <c:pt idx="3">
                  <c:v>13893137.449999997</c:v>
                </c:pt>
                <c:pt idx="4">
                  <c:v>14499788.049999997</c:v>
                </c:pt>
              </c:numCache>
            </c:numRef>
          </c:val>
          <c:extLst>
            <c:ext xmlns:c16="http://schemas.microsoft.com/office/drawing/2014/chart" uri="{C3380CC4-5D6E-409C-BE32-E72D297353CC}">
              <c16:uniqueId val="{00000000-F090-40EE-9DD4-4216B02FBE4D}"/>
            </c:ext>
          </c:extLst>
        </c:ser>
        <c:dLbls>
          <c:showLegendKey val="0"/>
          <c:showVal val="0"/>
          <c:showCatName val="0"/>
          <c:showSerName val="0"/>
          <c:showPercent val="0"/>
          <c:showBubbleSize val="0"/>
        </c:dLbls>
        <c:gapWidth val="115"/>
        <c:overlap val="-20"/>
        <c:axId val="1181448399"/>
        <c:axId val="1181437839"/>
      </c:barChart>
      <c:catAx>
        <c:axId val="118144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437839"/>
        <c:crosses val="autoZero"/>
        <c:auto val="1"/>
        <c:lblAlgn val="ctr"/>
        <c:lblOffset val="100"/>
        <c:noMultiLvlLbl val="0"/>
      </c:catAx>
      <c:valAx>
        <c:axId val="1181437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44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19</xdr:col>
      <xdr:colOff>108855</xdr:colOff>
      <xdr:row>67</xdr:row>
      <xdr:rowOff>126998</xdr:rowOff>
    </xdr:from>
    <xdr:to>
      <xdr:col>19</xdr:col>
      <xdr:colOff>108855</xdr:colOff>
      <xdr:row>73</xdr:row>
      <xdr:rowOff>68384</xdr:rowOff>
    </xdr:to>
    <xdr:cxnSp macro="">
      <xdr:nvCxnSpPr>
        <xdr:cNvPr id="7" name="Straight Connector 6">
          <a:extLst>
            <a:ext uri="{FF2B5EF4-FFF2-40B4-BE49-F238E27FC236}">
              <a16:creationId xmlns:a16="http://schemas.microsoft.com/office/drawing/2014/main" id="{2CE2E5E4-3EE9-4243-9DC7-18F94B508097}"/>
            </a:ext>
          </a:extLst>
        </xdr:cNvPr>
        <xdr:cNvCxnSpPr/>
      </xdr:nvCxnSpPr>
      <xdr:spPr>
        <a:xfrm>
          <a:off x="11617009" y="12563229"/>
          <a:ext cx="0" cy="105507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0</xdr:colOff>
      <xdr:row>0</xdr:row>
      <xdr:rowOff>0</xdr:rowOff>
    </xdr:from>
    <xdr:to>
      <xdr:col>26</xdr:col>
      <xdr:colOff>588094</xdr:colOff>
      <xdr:row>52</xdr:row>
      <xdr:rowOff>94342</xdr:rowOff>
    </xdr:to>
    <xdr:grpSp>
      <xdr:nvGrpSpPr>
        <xdr:cNvPr id="27" name="Group 26">
          <a:extLst>
            <a:ext uri="{FF2B5EF4-FFF2-40B4-BE49-F238E27FC236}">
              <a16:creationId xmlns:a16="http://schemas.microsoft.com/office/drawing/2014/main" id="{AA08A9BC-BC8C-AC0E-E8FE-7DFD771C563B}"/>
            </a:ext>
          </a:extLst>
        </xdr:cNvPr>
        <xdr:cNvGrpSpPr/>
      </xdr:nvGrpSpPr>
      <xdr:grpSpPr>
        <a:xfrm>
          <a:off x="0" y="0"/>
          <a:ext cx="16626380" cy="9528628"/>
          <a:chOff x="12619303" y="14604999"/>
          <a:chExt cx="16437694" cy="9987642"/>
        </a:xfrm>
      </xdr:grpSpPr>
      <xdr:grpSp>
        <xdr:nvGrpSpPr>
          <xdr:cNvPr id="22" name="Group 21">
            <a:extLst>
              <a:ext uri="{FF2B5EF4-FFF2-40B4-BE49-F238E27FC236}">
                <a16:creationId xmlns:a16="http://schemas.microsoft.com/office/drawing/2014/main" id="{18B42D5E-160B-9A3B-E635-E4F0F9744388}"/>
              </a:ext>
            </a:extLst>
          </xdr:cNvPr>
          <xdr:cNvGrpSpPr/>
        </xdr:nvGrpSpPr>
        <xdr:grpSpPr>
          <a:xfrm>
            <a:off x="12619303" y="14604999"/>
            <a:ext cx="16437694" cy="9987642"/>
            <a:chOff x="11777691" y="12318998"/>
            <a:chExt cx="16560524" cy="9535560"/>
          </a:xfrm>
        </xdr:grpSpPr>
        <xdr:grpSp>
          <xdr:nvGrpSpPr>
            <xdr:cNvPr id="85" name="Group 84">
              <a:extLst>
                <a:ext uri="{FF2B5EF4-FFF2-40B4-BE49-F238E27FC236}">
                  <a16:creationId xmlns:a16="http://schemas.microsoft.com/office/drawing/2014/main" id="{6A677F85-60BD-BEF6-D5F7-FEA9EA06EE7B}"/>
                </a:ext>
              </a:extLst>
            </xdr:cNvPr>
            <xdr:cNvGrpSpPr/>
          </xdr:nvGrpSpPr>
          <xdr:grpSpPr>
            <a:xfrm>
              <a:off x="11777691" y="12318998"/>
              <a:ext cx="16560524" cy="9535560"/>
              <a:chOff x="11974285" y="12917714"/>
              <a:chExt cx="16633637" cy="9506857"/>
            </a:xfrm>
          </xdr:grpSpPr>
          <xdr:sp macro="" textlink="">
            <xdr:nvSpPr>
              <xdr:cNvPr id="3" name="Rectangle 2">
                <a:extLst>
                  <a:ext uri="{FF2B5EF4-FFF2-40B4-BE49-F238E27FC236}">
                    <a16:creationId xmlns:a16="http://schemas.microsoft.com/office/drawing/2014/main" id="{FE1CB991-62AB-9594-B873-C75AC677AB45}"/>
                  </a:ext>
                </a:extLst>
              </xdr:cNvPr>
              <xdr:cNvSpPr/>
            </xdr:nvSpPr>
            <xdr:spPr>
              <a:xfrm>
                <a:off x="11974285" y="12917714"/>
                <a:ext cx="16633637" cy="9506857"/>
              </a:xfrm>
              <a:prstGeom prst="rect">
                <a:avLst/>
              </a:prstGeom>
              <a:solidFill>
                <a:schemeClr val="bg1">
                  <a:lumMod val="85000"/>
                </a:schemeClr>
              </a:solidFill>
              <a:effectLst>
                <a:outerShdw blurRad="254000" dist="101600" dir="21540000" algn="l" rotWithShape="0">
                  <a:prstClr val="black">
                    <a:alpha val="99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sales_by_region">
                <a:extLst>
                  <a:ext uri="{FF2B5EF4-FFF2-40B4-BE49-F238E27FC236}">
                    <a16:creationId xmlns:a16="http://schemas.microsoft.com/office/drawing/2014/main" id="{F67FD709-6A0E-A03E-00D3-9CE5B25F2C67}"/>
                  </a:ext>
                </a:extLst>
              </xdr:cNvPr>
              <xdr:cNvGraphicFramePr/>
            </xdr:nvGraphicFramePr>
            <xdr:xfrm>
              <a:off x="14389704" y="15355585"/>
              <a:ext cx="4601291" cy="26566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sales_by_category">
                <a:extLst>
                  <a:ext uri="{FF2B5EF4-FFF2-40B4-BE49-F238E27FC236}">
                    <a16:creationId xmlns:a16="http://schemas.microsoft.com/office/drawing/2014/main" id="{005C6BBE-E839-E842-BF72-BDC693A759AB}"/>
                  </a:ext>
                </a:extLst>
              </xdr:cNvPr>
              <xdr:cNvGraphicFramePr/>
            </xdr:nvGraphicFramePr>
            <xdr:xfrm>
              <a:off x="19045579" y="15355585"/>
              <a:ext cx="4606543" cy="265667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sales_by_salesperson">
                <a:extLst>
                  <a:ext uri="{FF2B5EF4-FFF2-40B4-BE49-F238E27FC236}">
                    <a16:creationId xmlns:a16="http://schemas.microsoft.com/office/drawing/2014/main" id="{9F1725F9-7178-7308-B03F-1C9592F9D8E8}"/>
                  </a:ext>
                </a:extLst>
              </xdr:cNvPr>
              <xdr:cNvGraphicFramePr/>
            </xdr:nvGraphicFramePr>
            <xdr:xfrm>
              <a:off x="23713780" y="18067938"/>
              <a:ext cx="4609230" cy="265667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2">
                <a:extLst>
                  <a:ext uri="{FF2B5EF4-FFF2-40B4-BE49-F238E27FC236}">
                    <a16:creationId xmlns:a16="http://schemas.microsoft.com/office/drawing/2014/main" id="{EFB0575D-54AE-E5C0-70EB-CA7CB0015930}"/>
                  </a:ext>
                </a:extLst>
              </xdr:cNvPr>
              <xdr:cNvGraphicFramePr/>
            </xdr:nvGraphicFramePr>
            <xdr:xfrm>
              <a:off x="23707514" y="15348065"/>
              <a:ext cx="4609230" cy="265667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3">
                <a:extLst>
                  <a:ext uri="{FF2B5EF4-FFF2-40B4-BE49-F238E27FC236}">
                    <a16:creationId xmlns:a16="http://schemas.microsoft.com/office/drawing/2014/main" id="{0BEBA080-3212-D0FB-E03E-D26B15FC1C63}"/>
                  </a:ext>
                </a:extLst>
              </xdr:cNvPr>
              <xdr:cNvGraphicFramePr/>
            </xdr:nvGraphicFramePr>
            <xdr:xfrm>
              <a:off x="19053840" y="18073958"/>
              <a:ext cx="4599023" cy="26566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4">
                <a:extLst>
                  <a:ext uri="{FF2B5EF4-FFF2-40B4-BE49-F238E27FC236}">
                    <a16:creationId xmlns:a16="http://schemas.microsoft.com/office/drawing/2014/main" id="{1E3BDD5D-60B1-1775-DD41-7439F3776FE8}"/>
                  </a:ext>
                </a:extLst>
              </xdr:cNvPr>
              <xdr:cNvGraphicFramePr/>
            </xdr:nvGraphicFramePr>
            <xdr:xfrm>
              <a:off x="14390444" y="18075045"/>
              <a:ext cx="4601291" cy="265667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4" name="Rectangle 13">
                <a:extLst>
                  <a:ext uri="{FF2B5EF4-FFF2-40B4-BE49-F238E27FC236}">
                    <a16:creationId xmlns:a16="http://schemas.microsoft.com/office/drawing/2014/main" id="{18EFF4E7-9889-8CDE-39B3-77B9FB5FABB4}"/>
                  </a:ext>
                </a:extLst>
              </xdr:cNvPr>
              <xdr:cNvSpPr/>
            </xdr:nvSpPr>
            <xdr:spPr>
              <a:xfrm>
                <a:off x="12173857" y="14133286"/>
                <a:ext cx="1923143" cy="6622143"/>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AF2742E3-A193-C489-ECAF-9201054226F6}"/>
                  </a:ext>
                </a:extLst>
              </xdr:cNvPr>
              <xdr:cNvSpPr/>
            </xdr:nvSpPr>
            <xdr:spPr>
              <a:xfrm>
                <a:off x="12173857" y="13135430"/>
                <a:ext cx="16165286" cy="816429"/>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200" b="1">
                    <a:solidFill>
                      <a:schemeClr val="bg2">
                        <a:lumMod val="75000"/>
                      </a:schemeClr>
                    </a:solidFill>
                  </a:rPr>
                  <a:t>SALES DASHBOARD</a:t>
                </a:r>
              </a:p>
            </xdr:txBody>
          </xdr:sp>
          <xdr:sp macro="" textlink="">
            <xdr:nvSpPr>
              <xdr:cNvPr id="18" name="Rectangle 17">
                <a:extLst>
                  <a:ext uri="{FF2B5EF4-FFF2-40B4-BE49-F238E27FC236}">
                    <a16:creationId xmlns:a16="http://schemas.microsoft.com/office/drawing/2014/main" id="{4FC958CA-BC7D-F917-20AC-2F6F121710BB}"/>
                  </a:ext>
                </a:extLst>
              </xdr:cNvPr>
              <xdr:cNvSpPr/>
            </xdr:nvSpPr>
            <xdr:spPr>
              <a:xfrm>
                <a:off x="12173857" y="20882429"/>
                <a:ext cx="16165286" cy="1378857"/>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b="1">
                    <a:solidFill>
                      <a:schemeClr val="bg2"/>
                    </a:solidFill>
                  </a:rPr>
                  <a:t>INSIGHTS:</a:t>
                </a:r>
              </a:p>
            </xdr:txBody>
          </xdr:sp>
          <xdr:grpSp>
            <xdr:nvGrpSpPr>
              <xdr:cNvPr id="34" name="Group 33">
                <a:extLst>
                  <a:ext uri="{FF2B5EF4-FFF2-40B4-BE49-F238E27FC236}">
                    <a16:creationId xmlns:a16="http://schemas.microsoft.com/office/drawing/2014/main" id="{023F03D7-D0D5-D341-09AE-C227D6C011F9}"/>
                  </a:ext>
                </a:extLst>
              </xdr:cNvPr>
              <xdr:cNvGrpSpPr/>
            </xdr:nvGrpSpPr>
            <xdr:grpSpPr>
              <a:xfrm>
                <a:off x="14423571" y="14096998"/>
                <a:ext cx="2376714" cy="1088572"/>
                <a:chOff x="7710714" y="12210141"/>
                <a:chExt cx="2376714" cy="1088572"/>
              </a:xfrm>
            </xdr:grpSpPr>
            <xdr:sp macro="" textlink="">
              <xdr:nvSpPr>
                <xdr:cNvPr id="24" name="Rectangle 23">
                  <a:extLst>
                    <a:ext uri="{FF2B5EF4-FFF2-40B4-BE49-F238E27FC236}">
                      <a16:creationId xmlns:a16="http://schemas.microsoft.com/office/drawing/2014/main" id="{6A9884A3-7E64-4FDF-952A-5B2293CC0872}"/>
                    </a:ext>
                  </a:extLst>
                </xdr:cNvPr>
                <xdr:cNvSpPr/>
              </xdr:nvSpPr>
              <xdr:spPr>
                <a:xfrm>
                  <a:off x="7710714" y="12210141"/>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A8EE9A3C-6342-4DE9-55C5-745A62B6D951}"/>
                    </a:ext>
                  </a:extLst>
                </xdr:cNvPr>
                <xdr:cNvSpPr txBox="1"/>
              </xdr:nvSpPr>
              <xdr:spPr>
                <a:xfrm>
                  <a:off x="8128000" y="12355286"/>
                  <a:ext cx="1759857"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Total Sales</a:t>
                  </a:r>
                </a:p>
              </xdr:txBody>
            </xdr:sp>
            <xdr:sp macro="" textlink="Analysis!A2">
              <xdr:nvSpPr>
                <xdr:cNvPr id="29" name="TextBox 28">
                  <a:extLst>
                    <a:ext uri="{FF2B5EF4-FFF2-40B4-BE49-F238E27FC236}">
                      <a16:creationId xmlns:a16="http://schemas.microsoft.com/office/drawing/2014/main" id="{116635F8-0E97-4FD4-A502-AA13831D2EFA}"/>
                    </a:ext>
                  </a:extLst>
                </xdr:cNvPr>
                <xdr:cNvSpPr txBox="1"/>
              </xdr:nvSpPr>
              <xdr:spPr>
                <a:xfrm>
                  <a:off x="8037286" y="12681856"/>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B8D74E-54DD-49B6-ADC8-CBF6818324F2}" type="TxLink">
                    <a:rPr lang="en-US" sz="1800" b="0" i="0" u="none" strike="noStrike">
                      <a:solidFill>
                        <a:schemeClr val="bg1">
                          <a:lumMod val="95000"/>
                        </a:schemeClr>
                      </a:solidFill>
                      <a:latin typeface="Calibri"/>
                      <a:ea typeface="Calibri"/>
                      <a:cs typeface="Calibri"/>
                    </a:rPr>
                    <a:pPr algn="ctr"/>
                    <a:t>₹ 21,71,48,194</a:t>
                  </a:fld>
                  <a:endParaRPr lang="en-IN" sz="1800" b="1">
                    <a:solidFill>
                      <a:schemeClr val="bg1">
                        <a:lumMod val="95000"/>
                      </a:schemeClr>
                    </a:solidFill>
                  </a:endParaRPr>
                </a:p>
              </xdr:txBody>
            </xdr:sp>
            <xdr:pic>
              <xdr:nvPicPr>
                <xdr:cNvPr id="33" name="Graphic 32" descr="Coins with solid fill">
                  <a:extLst>
                    <a:ext uri="{FF2B5EF4-FFF2-40B4-BE49-F238E27FC236}">
                      <a16:creationId xmlns:a16="http://schemas.microsoft.com/office/drawing/2014/main" id="{91F548DC-215E-9AC5-1929-1FBCA2F403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28857" y="12482285"/>
                  <a:ext cx="562428" cy="562428"/>
                </a:xfrm>
                <a:prstGeom prst="rect">
                  <a:avLst/>
                </a:prstGeom>
              </xdr:spPr>
            </xdr:pic>
          </xdr:grpSp>
          <xdr:grpSp>
            <xdr:nvGrpSpPr>
              <xdr:cNvPr id="42" name="Group 41">
                <a:extLst>
                  <a:ext uri="{FF2B5EF4-FFF2-40B4-BE49-F238E27FC236}">
                    <a16:creationId xmlns:a16="http://schemas.microsoft.com/office/drawing/2014/main" id="{7218C7AB-352A-A5B4-01AC-46936A3631B4}"/>
                  </a:ext>
                </a:extLst>
              </xdr:cNvPr>
              <xdr:cNvGrpSpPr/>
            </xdr:nvGrpSpPr>
            <xdr:grpSpPr>
              <a:xfrm>
                <a:off x="16600714" y="14097000"/>
                <a:ext cx="2267857" cy="1088572"/>
                <a:chOff x="4934857" y="16691429"/>
                <a:chExt cx="2267857" cy="1088572"/>
              </a:xfrm>
            </xdr:grpSpPr>
            <xdr:sp macro="" textlink="">
              <xdr:nvSpPr>
                <xdr:cNvPr id="36" name="Rectangle 35">
                  <a:extLst>
                    <a:ext uri="{FF2B5EF4-FFF2-40B4-BE49-F238E27FC236}">
                      <a16:creationId xmlns:a16="http://schemas.microsoft.com/office/drawing/2014/main" id="{FA87E7B8-9143-FFFC-CD8C-0A54DA33BB6B}"/>
                    </a:ext>
                  </a:extLst>
                </xdr:cNvPr>
                <xdr:cNvSpPr/>
              </xdr:nvSpPr>
              <xdr:spPr>
                <a:xfrm>
                  <a:off x="4934857" y="16691429"/>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547CDDF4-E02D-C51E-4ACD-BE71272F9A36}"/>
                    </a:ext>
                  </a:extLst>
                </xdr:cNvPr>
                <xdr:cNvSpPr txBox="1"/>
              </xdr:nvSpPr>
              <xdr:spPr>
                <a:xfrm>
                  <a:off x="5352143" y="16836574"/>
                  <a:ext cx="1759857"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Total</a:t>
                  </a:r>
                  <a:r>
                    <a:rPr lang="en-IN" sz="1800" b="1" baseline="0">
                      <a:solidFill>
                        <a:schemeClr val="bg1">
                          <a:lumMod val="95000"/>
                        </a:schemeClr>
                      </a:solidFill>
                    </a:rPr>
                    <a:t> Orders</a:t>
                  </a:r>
                  <a:endParaRPr lang="en-IN" sz="1800" b="1">
                    <a:solidFill>
                      <a:schemeClr val="bg1">
                        <a:lumMod val="95000"/>
                      </a:schemeClr>
                    </a:solidFill>
                  </a:endParaRPr>
                </a:p>
              </xdr:txBody>
            </xdr:sp>
            <xdr:sp macro="" textlink="Analysis!C2">
              <xdr:nvSpPr>
                <xdr:cNvPr id="38" name="TextBox 37">
                  <a:extLst>
                    <a:ext uri="{FF2B5EF4-FFF2-40B4-BE49-F238E27FC236}">
                      <a16:creationId xmlns:a16="http://schemas.microsoft.com/office/drawing/2014/main" id="{0DED58B4-169D-8E29-6EEF-2A7FFB08EADD}"/>
                    </a:ext>
                  </a:extLst>
                </xdr:cNvPr>
                <xdr:cNvSpPr txBox="1"/>
              </xdr:nvSpPr>
              <xdr:spPr>
                <a:xfrm>
                  <a:off x="5152572" y="17163143"/>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834876-514B-4E86-9F3B-E81018B47F32}" type="TxLink">
                    <a:rPr lang="en-US" sz="1800" b="1" i="0" u="none" strike="noStrike">
                      <a:solidFill>
                        <a:schemeClr val="bg1">
                          <a:lumMod val="95000"/>
                        </a:schemeClr>
                      </a:solidFill>
                      <a:latin typeface="Calibri"/>
                      <a:ea typeface="Calibri"/>
                      <a:cs typeface="Calibri"/>
                    </a:rPr>
                    <a:pPr algn="ctr"/>
                    <a:t>1000</a:t>
                  </a:fld>
                  <a:endParaRPr lang="en-IN" sz="1800" b="1">
                    <a:solidFill>
                      <a:schemeClr val="bg1">
                        <a:lumMod val="95000"/>
                      </a:schemeClr>
                    </a:solidFill>
                  </a:endParaRPr>
                </a:p>
              </xdr:txBody>
            </xdr:sp>
            <xdr:pic>
              <xdr:nvPicPr>
                <xdr:cNvPr id="41" name="Graphic 40" descr="Truck with solid fill">
                  <a:extLst>
                    <a:ext uri="{FF2B5EF4-FFF2-40B4-BE49-F238E27FC236}">
                      <a16:creationId xmlns:a16="http://schemas.microsoft.com/office/drawing/2014/main" id="{A636796C-6305-7658-71E4-0CF3CA3F53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07428" y="16909142"/>
                  <a:ext cx="689429" cy="689429"/>
                </a:xfrm>
                <a:prstGeom prst="rect">
                  <a:avLst/>
                </a:prstGeom>
              </xdr:spPr>
            </xdr:pic>
          </xdr:grpSp>
          <xdr:grpSp>
            <xdr:nvGrpSpPr>
              <xdr:cNvPr id="50" name="Group 49">
                <a:extLst>
                  <a:ext uri="{FF2B5EF4-FFF2-40B4-BE49-F238E27FC236}">
                    <a16:creationId xmlns:a16="http://schemas.microsoft.com/office/drawing/2014/main" id="{64F21816-F981-9904-0B99-0E96714115E6}"/>
                  </a:ext>
                </a:extLst>
              </xdr:cNvPr>
              <xdr:cNvGrpSpPr/>
            </xdr:nvGrpSpPr>
            <xdr:grpSpPr>
              <a:xfrm>
                <a:off x="18796000" y="14097001"/>
                <a:ext cx="2267857" cy="1088572"/>
                <a:chOff x="5243286" y="12754429"/>
                <a:chExt cx="2267857" cy="1088572"/>
              </a:xfrm>
            </xdr:grpSpPr>
            <xdr:sp macro="" textlink="">
              <xdr:nvSpPr>
                <xdr:cNvPr id="44" name="Rectangle 43">
                  <a:extLst>
                    <a:ext uri="{FF2B5EF4-FFF2-40B4-BE49-F238E27FC236}">
                      <a16:creationId xmlns:a16="http://schemas.microsoft.com/office/drawing/2014/main" id="{0A10F1BD-51E7-9087-B3E4-875BBDF8EACB}"/>
                    </a:ext>
                  </a:extLst>
                </xdr:cNvPr>
                <xdr:cNvSpPr/>
              </xdr:nvSpPr>
              <xdr:spPr>
                <a:xfrm>
                  <a:off x="5243286" y="12754429"/>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D70DBA77-C330-99E1-3CE7-0D3003A631E0}"/>
                    </a:ext>
                  </a:extLst>
                </xdr:cNvPr>
                <xdr:cNvSpPr txBox="1"/>
              </xdr:nvSpPr>
              <xdr:spPr>
                <a:xfrm>
                  <a:off x="5606144" y="12899574"/>
                  <a:ext cx="1759857"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Total</a:t>
                  </a:r>
                  <a:r>
                    <a:rPr lang="en-IN" sz="1800" b="1" baseline="0">
                      <a:solidFill>
                        <a:schemeClr val="bg1">
                          <a:lumMod val="95000"/>
                        </a:schemeClr>
                      </a:solidFill>
                    </a:rPr>
                    <a:t> Customers</a:t>
                  </a:r>
                  <a:endParaRPr lang="en-IN" sz="1800" b="1">
                    <a:solidFill>
                      <a:schemeClr val="bg1">
                        <a:lumMod val="95000"/>
                      </a:schemeClr>
                    </a:solidFill>
                  </a:endParaRPr>
                </a:p>
              </xdr:txBody>
            </xdr:sp>
            <xdr:sp macro="" textlink="Analysis!E2">
              <xdr:nvSpPr>
                <xdr:cNvPr id="46" name="TextBox 45">
                  <a:extLst>
                    <a:ext uri="{FF2B5EF4-FFF2-40B4-BE49-F238E27FC236}">
                      <a16:creationId xmlns:a16="http://schemas.microsoft.com/office/drawing/2014/main" id="{3BD2621D-3860-46DC-107D-2EC811487571}"/>
                    </a:ext>
                  </a:extLst>
                </xdr:cNvPr>
                <xdr:cNvSpPr txBox="1"/>
              </xdr:nvSpPr>
              <xdr:spPr>
                <a:xfrm>
                  <a:off x="5461001" y="13226143"/>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4CD6DC-37C9-4E42-9C97-88F7B1855D04}" type="TxLink">
                    <a:rPr lang="en-US" sz="1800" b="1" i="0" u="none" strike="noStrike">
                      <a:solidFill>
                        <a:schemeClr val="bg1">
                          <a:lumMod val="95000"/>
                        </a:schemeClr>
                      </a:solidFill>
                      <a:latin typeface="Calibri"/>
                      <a:ea typeface="Calibri"/>
                      <a:cs typeface="Calibri"/>
                    </a:rPr>
                    <a:pPr algn="ctr"/>
                    <a:t>20</a:t>
                  </a:fld>
                  <a:endParaRPr lang="en-IN" sz="1800" b="1">
                    <a:solidFill>
                      <a:schemeClr val="bg1">
                        <a:lumMod val="95000"/>
                      </a:schemeClr>
                    </a:solidFill>
                  </a:endParaRPr>
                </a:p>
              </xdr:txBody>
            </xdr:sp>
            <xdr:pic>
              <xdr:nvPicPr>
                <xdr:cNvPr id="49" name="Graphic 48" descr="Target Audience with solid fill">
                  <a:extLst>
                    <a:ext uri="{FF2B5EF4-FFF2-40B4-BE49-F238E27FC236}">
                      <a16:creationId xmlns:a16="http://schemas.microsoft.com/office/drawing/2014/main" id="{F6CF966C-8FC9-9949-EEE5-67B18E7514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34000" y="13117286"/>
                  <a:ext cx="562428" cy="562428"/>
                </a:xfrm>
                <a:prstGeom prst="rect">
                  <a:avLst/>
                </a:prstGeom>
              </xdr:spPr>
            </xdr:pic>
          </xdr:grpSp>
          <xdr:grpSp>
            <xdr:nvGrpSpPr>
              <xdr:cNvPr id="60" name="Group 59">
                <a:extLst>
                  <a:ext uri="{FF2B5EF4-FFF2-40B4-BE49-F238E27FC236}">
                    <a16:creationId xmlns:a16="http://schemas.microsoft.com/office/drawing/2014/main" id="{8D7C9143-E6E2-A5D7-7E0C-F712B2E7DE1E}"/>
                  </a:ext>
                </a:extLst>
              </xdr:cNvPr>
              <xdr:cNvGrpSpPr/>
            </xdr:nvGrpSpPr>
            <xdr:grpSpPr>
              <a:xfrm>
                <a:off x="21009428" y="14097001"/>
                <a:ext cx="2340428" cy="1088572"/>
                <a:chOff x="5551714" y="12518571"/>
                <a:chExt cx="2340428" cy="1088572"/>
              </a:xfrm>
            </xdr:grpSpPr>
            <xdr:sp macro="" textlink="">
              <xdr:nvSpPr>
                <xdr:cNvPr id="52" name="Rectangle 51">
                  <a:extLst>
                    <a:ext uri="{FF2B5EF4-FFF2-40B4-BE49-F238E27FC236}">
                      <a16:creationId xmlns:a16="http://schemas.microsoft.com/office/drawing/2014/main" id="{EC1C416B-1421-EA19-5349-9E4F7FD75494}"/>
                    </a:ext>
                  </a:extLst>
                </xdr:cNvPr>
                <xdr:cNvSpPr/>
              </xdr:nvSpPr>
              <xdr:spPr>
                <a:xfrm>
                  <a:off x="5551714" y="12518571"/>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60609AF8-DF31-E50D-ECA3-A2AA6A66527D}"/>
                    </a:ext>
                  </a:extLst>
                </xdr:cNvPr>
                <xdr:cNvSpPr txBox="1"/>
              </xdr:nvSpPr>
              <xdr:spPr>
                <a:xfrm>
                  <a:off x="5969000" y="12663716"/>
                  <a:ext cx="1759857"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Total</a:t>
                  </a:r>
                  <a:r>
                    <a:rPr lang="en-IN" sz="1800" b="1" baseline="0">
                      <a:solidFill>
                        <a:schemeClr val="bg1">
                          <a:lumMod val="95000"/>
                        </a:schemeClr>
                      </a:solidFill>
                    </a:rPr>
                    <a:t> Qunatity</a:t>
                  </a:r>
                  <a:endParaRPr lang="en-IN" sz="1800" b="1">
                    <a:solidFill>
                      <a:schemeClr val="bg1">
                        <a:lumMod val="95000"/>
                      </a:schemeClr>
                    </a:solidFill>
                  </a:endParaRPr>
                </a:p>
              </xdr:txBody>
            </xdr:sp>
            <xdr:sp macro="" textlink="Analysis!O2">
              <xdr:nvSpPr>
                <xdr:cNvPr id="54" name="TextBox 53">
                  <a:extLst>
                    <a:ext uri="{FF2B5EF4-FFF2-40B4-BE49-F238E27FC236}">
                      <a16:creationId xmlns:a16="http://schemas.microsoft.com/office/drawing/2014/main" id="{B1D355A1-4171-11FD-E46A-4D757F09B00E}"/>
                    </a:ext>
                  </a:extLst>
                </xdr:cNvPr>
                <xdr:cNvSpPr txBox="1"/>
              </xdr:nvSpPr>
              <xdr:spPr>
                <a:xfrm>
                  <a:off x="5842000" y="12953999"/>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FF014D-590B-4D85-BE4E-280ACD26A709}" type="TxLink">
                    <a:rPr lang="en-US" sz="1800" b="1" i="0" u="none" strike="noStrike">
                      <a:solidFill>
                        <a:schemeClr val="bg1">
                          <a:lumMod val="95000"/>
                        </a:schemeClr>
                      </a:solidFill>
                      <a:latin typeface="Calibri"/>
                      <a:ea typeface="Calibri"/>
                      <a:cs typeface="Calibri"/>
                    </a:rPr>
                    <a:pPr algn="ctr"/>
                    <a:t>8035</a:t>
                  </a:fld>
                  <a:endParaRPr lang="en-IN" sz="1800" b="1">
                    <a:solidFill>
                      <a:schemeClr val="bg1">
                        <a:lumMod val="95000"/>
                      </a:schemeClr>
                    </a:solidFill>
                  </a:endParaRPr>
                </a:p>
              </xdr:txBody>
            </xdr:sp>
            <xdr:pic>
              <xdr:nvPicPr>
                <xdr:cNvPr id="59" name="Picture 58">
                  <a:extLst>
                    <a:ext uri="{FF2B5EF4-FFF2-40B4-BE49-F238E27FC236}">
                      <a16:creationId xmlns:a16="http://schemas.microsoft.com/office/drawing/2014/main" id="{0A297BAB-3B86-BDEF-F1D8-4CD26DC8E223}"/>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5696858" y="12899572"/>
                  <a:ext cx="417285" cy="417285"/>
                </a:xfrm>
                <a:prstGeom prst="rect">
                  <a:avLst/>
                </a:prstGeom>
              </xdr:spPr>
            </xdr:pic>
          </xdr:grpSp>
          <xdr:grpSp>
            <xdr:nvGrpSpPr>
              <xdr:cNvPr id="68" name="Group 67">
                <a:extLst>
                  <a:ext uri="{FF2B5EF4-FFF2-40B4-BE49-F238E27FC236}">
                    <a16:creationId xmlns:a16="http://schemas.microsoft.com/office/drawing/2014/main" id="{BBF65AF7-E1EF-37A2-334B-4038473E92EE}"/>
                  </a:ext>
                </a:extLst>
              </xdr:cNvPr>
              <xdr:cNvGrpSpPr/>
            </xdr:nvGrpSpPr>
            <xdr:grpSpPr>
              <a:xfrm>
                <a:off x="23186572" y="13988145"/>
                <a:ext cx="3011714" cy="1197427"/>
                <a:chOff x="6785429" y="12409716"/>
                <a:chExt cx="2267857" cy="1197427"/>
              </a:xfrm>
            </xdr:grpSpPr>
            <xdr:sp macro="" textlink="">
              <xdr:nvSpPr>
                <xdr:cNvPr id="62" name="Rectangle 61">
                  <a:extLst>
                    <a:ext uri="{FF2B5EF4-FFF2-40B4-BE49-F238E27FC236}">
                      <a16:creationId xmlns:a16="http://schemas.microsoft.com/office/drawing/2014/main" id="{9730ABE7-07EB-F32E-57F6-4D864787C0EE}"/>
                    </a:ext>
                  </a:extLst>
                </xdr:cNvPr>
                <xdr:cNvSpPr/>
              </xdr:nvSpPr>
              <xdr:spPr>
                <a:xfrm>
                  <a:off x="6785429" y="12518571"/>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63" name="TextBox 62">
                  <a:extLst>
                    <a:ext uri="{FF2B5EF4-FFF2-40B4-BE49-F238E27FC236}">
                      <a16:creationId xmlns:a16="http://schemas.microsoft.com/office/drawing/2014/main" id="{8B82D55F-DDE3-1092-FB3B-2268B039B7A2}"/>
                    </a:ext>
                  </a:extLst>
                </xdr:cNvPr>
                <xdr:cNvSpPr txBox="1"/>
              </xdr:nvSpPr>
              <xdr:spPr>
                <a:xfrm>
                  <a:off x="7130144" y="12409716"/>
                  <a:ext cx="1832428" cy="888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Average</a:t>
                  </a:r>
                  <a:r>
                    <a:rPr lang="en-IN" sz="1800" b="1" baseline="0">
                      <a:solidFill>
                        <a:schemeClr val="bg1">
                          <a:lumMod val="95000"/>
                        </a:schemeClr>
                      </a:solidFill>
                    </a:rPr>
                    <a:t> Order Value</a:t>
                  </a:r>
                  <a:endParaRPr lang="en-IN" sz="1800" b="1">
                    <a:solidFill>
                      <a:schemeClr val="bg1">
                        <a:lumMod val="95000"/>
                      </a:schemeClr>
                    </a:solidFill>
                  </a:endParaRPr>
                </a:p>
              </xdr:txBody>
            </xdr:sp>
            <xdr:sp macro="" textlink="Analysis!R2">
              <xdr:nvSpPr>
                <xdr:cNvPr id="64" name="TextBox 63">
                  <a:extLst>
                    <a:ext uri="{FF2B5EF4-FFF2-40B4-BE49-F238E27FC236}">
                      <a16:creationId xmlns:a16="http://schemas.microsoft.com/office/drawing/2014/main" id="{E262A146-9396-FC5F-EA69-FFCB1EB334CA}"/>
                    </a:ext>
                  </a:extLst>
                </xdr:cNvPr>
                <xdr:cNvSpPr txBox="1"/>
              </xdr:nvSpPr>
              <xdr:spPr>
                <a:xfrm>
                  <a:off x="7003144" y="13099143"/>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CCFAA6-A42E-403F-95A9-2777D29FA763}" type="TxLink">
                    <a:rPr lang="en-US" sz="1800" b="1" i="0" u="none" strike="noStrike">
                      <a:solidFill>
                        <a:schemeClr val="bg1">
                          <a:lumMod val="95000"/>
                        </a:schemeClr>
                      </a:solidFill>
                      <a:latin typeface="Calibri"/>
                      <a:ea typeface="Calibri"/>
                      <a:cs typeface="Calibri"/>
                    </a:rPr>
                    <a:pPr algn="ctr"/>
                    <a:t>₹ 2,17,148.19</a:t>
                  </a:fld>
                  <a:endParaRPr lang="en-IN" sz="1800" b="1">
                    <a:solidFill>
                      <a:schemeClr val="bg1">
                        <a:lumMod val="95000"/>
                      </a:schemeClr>
                    </a:solidFill>
                  </a:endParaRPr>
                </a:p>
              </xdr:txBody>
            </xdr:sp>
            <xdr:pic>
              <xdr:nvPicPr>
                <xdr:cNvPr id="67" name="Picture 66">
                  <a:extLst>
                    <a:ext uri="{FF2B5EF4-FFF2-40B4-BE49-F238E27FC236}">
                      <a16:creationId xmlns:a16="http://schemas.microsoft.com/office/drawing/2014/main" id="{1639BB86-97BE-97BB-F065-B6727A25C483}"/>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6876143" y="12935856"/>
                  <a:ext cx="381000" cy="381000"/>
                </a:xfrm>
                <a:prstGeom prst="rect">
                  <a:avLst/>
                </a:prstGeom>
              </xdr:spPr>
            </xdr:pic>
          </xdr:grpSp>
          <xdr:grpSp>
            <xdr:nvGrpSpPr>
              <xdr:cNvPr id="79" name="Group 78">
                <a:extLst>
                  <a:ext uri="{FF2B5EF4-FFF2-40B4-BE49-F238E27FC236}">
                    <a16:creationId xmlns:a16="http://schemas.microsoft.com/office/drawing/2014/main" id="{7226F25A-AF56-B970-828B-38B22E6B845B}"/>
                  </a:ext>
                </a:extLst>
              </xdr:cNvPr>
              <xdr:cNvGrpSpPr/>
            </xdr:nvGrpSpPr>
            <xdr:grpSpPr>
              <a:xfrm>
                <a:off x="26071286" y="13897428"/>
                <a:ext cx="2467428" cy="1288142"/>
                <a:chOff x="26071286" y="13897428"/>
                <a:chExt cx="2467428" cy="1288142"/>
              </a:xfrm>
            </xdr:grpSpPr>
            <xdr:grpSp>
              <xdr:nvGrpSpPr>
                <xdr:cNvPr id="76" name="Group 75">
                  <a:extLst>
                    <a:ext uri="{FF2B5EF4-FFF2-40B4-BE49-F238E27FC236}">
                      <a16:creationId xmlns:a16="http://schemas.microsoft.com/office/drawing/2014/main" id="{ACB2286C-A5B8-334A-F41E-38EBBDCF874B}"/>
                    </a:ext>
                  </a:extLst>
                </xdr:cNvPr>
                <xdr:cNvGrpSpPr/>
              </xdr:nvGrpSpPr>
              <xdr:grpSpPr>
                <a:xfrm>
                  <a:off x="26071286" y="13897428"/>
                  <a:ext cx="2467428" cy="1288142"/>
                  <a:chOff x="5551714" y="11339285"/>
                  <a:chExt cx="2267857" cy="1288142"/>
                </a:xfrm>
              </xdr:grpSpPr>
              <xdr:sp macro="" textlink="">
                <xdr:nvSpPr>
                  <xdr:cNvPr id="70" name="Rectangle 69">
                    <a:extLst>
                      <a:ext uri="{FF2B5EF4-FFF2-40B4-BE49-F238E27FC236}">
                        <a16:creationId xmlns:a16="http://schemas.microsoft.com/office/drawing/2014/main" id="{AF755E5E-6CDD-4DE8-8FC5-F8F83982157E}"/>
                      </a:ext>
                    </a:extLst>
                  </xdr:cNvPr>
                  <xdr:cNvSpPr/>
                </xdr:nvSpPr>
                <xdr:spPr>
                  <a:xfrm>
                    <a:off x="5551714" y="11538855"/>
                    <a:ext cx="2086429" cy="10885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71" name="TextBox 70">
                    <a:extLst>
                      <a:ext uri="{FF2B5EF4-FFF2-40B4-BE49-F238E27FC236}">
                        <a16:creationId xmlns:a16="http://schemas.microsoft.com/office/drawing/2014/main" id="{2E1AD875-CC1C-0FE1-9084-0F5F767AC747}"/>
                      </a:ext>
                    </a:extLst>
                  </xdr:cNvPr>
                  <xdr:cNvSpPr txBox="1"/>
                </xdr:nvSpPr>
                <xdr:spPr>
                  <a:xfrm>
                    <a:off x="5823857" y="11339285"/>
                    <a:ext cx="1796144" cy="888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Average</a:t>
                    </a:r>
                    <a:r>
                      <a:rPr lang="en-IN" sz="1800" b="1" baseline="0">
                        <a:solidFill>
                          <a:schemeClr val="bg1">
                            <a:lumMod val="95000"/>
                          </a:schemeClr>
                        </a:solidFill>
                      </a:rPr>
                      <a:t> Discount</a:t>
                    </a:r>
                    <a:endParaRPr lang="en-IN" sz="1800" b="1">
                      <a:solidFill>
                        <a:schemeClr val="bg1">
                          <a:lumMod val="95000"/>
                        </a:schemeClr>
                      </a:solidFill>
                    </a:endParaRPr>
                  </a:p>
                </xdr:txBody>
              </xdr:sp>
              <xdr:sp macro="" textlink="Analysis!U2">
                <xdr:nvSpPr>
                  <xdr:cNvPr id="72" name="TextBox 71">
                    <a:extLst>
                      <a:ext uri="{FF2B5EF4-FFF2-40B4-BE49-F238E27FC236}">
                        <a16:creationId xmlns:a16="http://schemas.microsoft.com/office/drawing/2014/main" id="{DF24C6B1-CF51-6A91-2543-9DCA3CC4098E}"/>
                      </a:ext>
                    </a:extLst>
                  </xdr:cNvPr>
                  <xdr:cNvSpPr txBox="1"/>
                </xdr:nvSpPr>
                <xdr:spPr>
                  <a:xfrm>
                    <a:off x="5769429" y="12010570"/>
                    <a:ext cx="205014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D3BF98-9FC6-47F3-B3C9-4C40BF9E957B}" type="TxLink">
                      <a:rPr lang="en-US" sz="1800" b="1" i="0" u="none" strike="noStrike">
                        <a:solidFill>
                          <a:schemeClr val="bg1">
                            <a:lumMod val="95000"/>
                          </a:schemeClr>
                        </a:solidFill>
                        <a:latin typeface="Calibri"/>
                        <a:ea typeface="Calibri"/>
                        <a:cs typeface="Calibri"/>
                      </a:rPr>
                      <a:pPr algn="ctr"/>
                      <a:t>8.03</a:t>
                    </a:fld>
                    <a:endParaRPr lang="en-IN" sz="1800" b="1">
                      <a:solidFill>
                        <a:schemeClr val="bg1">
                          <a:lumMod val="95000"/>
                        </a:schemeClr>
                      </a:solidFill>
                    </a:endParaRPr>
                  </a:p>
                </xdr:txBody>
              </xdr:sp>
              <xdr:pic>
                <xdr:nvPicPr>
                  <xdr:cNvPr id="75" name="Picture 74">
                    <a:extLst>
                      <a:ext uri="{FF2B5EF4-FFF2-40B4-BE49-F238E27FC236}">
                        <a16:creationId xmlns:a16="http://schemas.microsoft.com/office/drawing/2014/main" id="{940084A8-4889-9F30-ACD2-D21B333C5D93}"/>
                      </a:ext>
                    </a:extLst>
                  </xdr:cNvPr>
                  <xdr:cNvPicPr>
                    <a:picLocks noChangeAspect="1"/>
                  </xdr:cNvPicPr>
                </xdr:nvPicPr>
                <xdr:blipFill>
                  <a:blip xmlns:r="http://schemas.openxmlformats.org/officeDocument/2006/relationships" r:embed="rId15" cstate="print">
                    <a:lum bright="70000" contrast="-70000"/>
                    <a:extLst>
                      <a:ext uri="{28A0092B-C50C-407E-A947-70E740481C1C}">
                        <a14:useLocalDpi xmlns:a14="http://schemas.microsoft.com/office/drawing/2010/main" val="0"/>
                      </a:ext>
                    </a:extLst>
                  </a:blip>
                  <a:stretch>
                    <a:fillRect/>
                  </a:stretch>
                </xdr:blipFill>
                <xdr:spPr>
                  <a:xfrm>
                    <a:off x="5627220" y="11974286"/>
                    <a:ext cx="435428" cy="435428"/>
                  </a:xfrm>
                  <a:prstGeom prst="rect">
                    <a:avLst/>
                  </a:prstGeom>
                </xdr:spPr>
              </xdr:pic>
            </xdr:grpSp>
            <xdr:pic>
              <xdr:nvPicPr>
                <xdr:cNvPr id="78" name="Picture 77">
                  <a:extLst>
                    <a:ext uri="{FF2B5EF4-FFF2-40B4-BE49-F238E27FC236}">
                      <a16:creationId xmlns:a16="http://schemas.microsoft.com/office/drawing/2014/main" id="{53C6A9C6-C59B-4186-AE95-4278CBE6E12B}"/>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27667857" y="14677571"/>
                  <a:ext cx="217715" cy="217715"/>
                </a:xfrm>
                <a:prstGeom prst="rect">
                  <a:avLst/>
                </a:prstGeom>
              </xdr:spPr>
            </xdr:pic>
          </xdr:grpSp>
          <mc:AlternateContent xmlns:mc="http://schemas.openxmlformats.org/markup-compatibility/2006">
            <mc:Choice xmlns:a14="http://schemas.microsoft.com/office/drawing/2010/main" Requires="a14">
              <xdr:graphicFrame macro="">
                <xdr:nvGraphicFramePr>
                  <xdr:cNvPr id="80" name="Region">
                    <a:extLst>
                      <a:ext uri="{FF2B5EF4-FFF2-40B4-BE49-F238E27FC236}">
                        <a16:creationId xmlns:a16="http://schemas.microsoft.com/office/drawing/2014/main" id="{178F5248-7E7E-A261-F037-9BB4107A5B86}"/>
                      </a:ext>
                    </a:extLst>
                  </xdr:cNvPr>
                  <xdr:cNvGraphicFramePr/>
                </xdr:nvGraphicFramePr>
                <xdr:xfrm>
                  <a:off x="12217399" y="14230170"/>
                  <a:ext cx="1828800" cy="149968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3008" y="1315462"/>
                    <a:ext cx="1828002" cy="1503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1" name="Salesperson">
                    <a:extLst>
                      <a:ext uri="{FF2B5EF4-FFF2-40B4-BE49-F238E27FC236}">
                        <a16:creationId xmlns:a16="http://schemas.microsoft.com/office/drawing/2014/main" id="{A5CB7E02-30C0-65E1-0977-3A9F4AF999B5}"/>
                      </a:ext>
                    </a:extLst>
                  </xdr:cNvPr>
                  <xdr:cNvGraphicFramePr/>
                </xdr:nvGraphicFramePr>
                <xdr:xfrm>
                  <a:off x="12225746" y="17213943"/>
                  <a:ext cx="1828800" cy="1799772"/>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51351" y="4306067"/>
                    <a:ext cx="1828002" cy="1803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2" name="Category">
                    <a:extLst>
                      <a:ext uri="{FF2B5EF4-FFF2-40B4-BE49-F238E27FC236}">
                        <a16:creationId xmlns:a16="http://schemas.microsoft.com/office/drawing/2014/main" id="{AA2494C4-710B-9686-E873-ED7AC5D08ABA}"/>
                      </a:ext>
                    </a:extLst>
                  </xdr:cNvPr>
                  <xdr:cNvGraphicFramePr/>
                </xdr:nvGraphicFramePr>
                <xdr:xfrm>
                  <a:off x="12215948" y="15861576"/>
                  <a:ext cx="1828800" cy="124714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1558" y="2950604"/>
                    <a:ext cx="1828002" cy="1249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86" name="TextBox 85">
              <a:extLst>
                <a:ext uri="{FF2B5EF4-FFF2-40B4-BE49-F238E27FC236}">
                  <a16:creationId xmlns:a16="http://schemas.microsoft.com/office/drawing/2014/main" id="{1CF1ACB3-4AB1-B158-3FC2-FCA77D435906}"/>
                </a:ext>
              </a:extLst>
            </xdr:cNvPr>
            <xdr:cNvSpPr txBox="1"/>
          </xdr:nvSpPr>
          <xdr:spPr>
            <a:xfrm>
              <a:off x="12214516" y="20744056"/>
              <a:ext cx="2573911" cy="92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South generated the highest revenue. </a:t>
              </a:r>
            </a:p>
          </xdr:txBody>
        </xdr:sp>
        <xdr:cxnSp macro="">
          <xdr:nvCxnSpPr>
            <xdr:cNvPr id="88" name="Straight Connector 87">
              <a:extLst>
                <a:ext uri="{FF2B5EF4-FFF2-40B4-BE49-F238E27FC236}">
                  <a16:creationId xmlns:a16="http://schemas.microsoft.com/office/drawing/2014/main" id="{5366E7D0-4E51-ED24-9BCC-E4C701288F67}"/>
                </a:ext>
              </a:extLst>
            </xdr:cNvPr>
            <xdr:cNvCxnSpPr/>
          </xdr:nvCxnSpPr>
          <xdr:spPr>
            <a:xfrm>
              <a:off x="14775868" y="20562627"/>
              <a:ext cx="0" cy="1036852"/>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89" name="TextBox 88">
              <a:extLst>
                <a:ext uri="{FF2B5EF4-FFF2-40B4-BE49-F238E27FC236}">
                  <a16:creationId xmlns:a16="http://schemas.microsoft.com/office/drawing/2014/main" id="{CDAF335D-852B-47B7-9499-0B42156A9240}"/>
                </a:ext>
              </a:extLst>
            </xdr:cNvPr>
            <xdr:cNvSpPr txBox="1"/>
          </xdr:nvSpPr>
          <xdr:spPr>
            <a:xfrm>
              <a:off x="14844254" y="20742661"/>
              <a:ext cx="2772002" cy="92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 Office Supplies is the best-performing category</a:t>
              </a:r>
            </a:p>
          </xdr:txBody>
        </xdr:sp>
        <xdr:cxnSp macro="">
          <xdr:nvCxnSpPr>
            <xdr:cNvPr id="8" name="Straight Connector 7">
              <a:extLst>
                <a:ext uri="{FF2B5EF4-FFF2-40B4-BE49-F238E27FC236}">
                  <a16:creationId xmlns:a16="http://schemas.microsoft.com/office/drawing/2014/main" id="{66215EFF-00DF-4AFA-8AFD-4D1BB2215F87}"/>
                </a:ext>
              </a:extLst>
            </xdr:cNvPr>
            <xdr:cNvCxnSpPr/>
          </xdr:nvCxnSpPr>
          <xdr:spPr>
            <a:xfrm>
              <a:off x="17710086" y="20540145"/>
              <a:ext cx="0" cy="1041613"/>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9" name="TextBox 8">
              <a:extLst>
                <a:ext uri="{FF2B5EF4-FFF2-40B4-BE49-F238E27FC236}">
                  <a16:creationId xmlns:a16="http://schemas.microsoft.com/office/drawing/2014/main" id="{80BB4047-AC0E-435B-BE46-A902C4505BB9}"/>
                </a:ext>
              </a:extLst>
            </xdr:cNvPr>
            <xdr:cNvSpPr txBox="1"/>
          </xdr:nvSpPr>
          <xdr:spPr>
            <a:xfrm>
              <a:off x="17249472" y="20737250"/>
              <a:ext cx="2772002" cy="92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 Kiran is the top salesperson </a:t>
              </a:r>
            </a:p>
          </xdr:txBody>
        </xdr:sp>
        <xdr:cxnSp macro="">
          <xdr:nvCxnSpPr>
            <xdr:cNvPr id="16" name="Straight Connector 15">
              <a:extLst>
                <a:ext uri="{FF2B5EF4-FFF2-40B4-BE49-F238E27FC236}">
                  <a16:creationId xmlns:a16="http://schemas.microsoft.com/office/drawing/2014/main" id="{54FBE23F-D88F-41D1-854C-2AB664E40778}"/>
                </a:ext>
              </a:extLst>
            </xdr:cNvPr>
            <xdr:cNvCxnSpPr/>
          </xdr:nvCxnSpPr>
          <xdr:spPr>
            <a:xfrm>
              <a:off x="19602189" y="20539407"/>
              <a:ext cx="0" cy="1036259"/>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17" name="TextBox 16">
              <a:extLst>
                <a:ext uri="{FF2B5EF4-FFF2-40B4-BE49-F238E27FC236}">
                  <a16:creationId xmlns:a16="http://schemas.microsoft.com/office/drawing/2014/main" id="{D4EF6237-1DFB-4648-82EF-9AC282D18834}"/>
                </a:ext>
              </a:extLst>
            </xdr:cNvPr>
            <xdr:cNvSpPr txBox="1"/>
          </xdr:nvSpPr>
          <xdr:spPr>
            <a:xfrm>
              <a:off x="19504924" y="20744597"/>
              <a:ext cx="2772002" cy="92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Printer is the highest-selling product</a:t>
              </a:r>
            </a:p>
          </xdr:txBody>
        </xdr:sp>
        <xdr:cxnSp macro="">
          <xdr:nvCxnSpPr>
            <xdr:cNvPr id="19" name="Straight Connector 18">
              <a:extLst>
                <a:ext uri="{FF2B5EF4-FFF2-40B4-BE49-F238E27FC236}">
                  <a16:creationId xmlns:a16="http://schemas.microsoft.com/office/drawing/2014/main" id="{E0C39879-78C5-4532-9A5B-9199CA1E3478}"/>
                </a:ext>
              </a:extLst>
            </xdr:cNvPr>
            <xdr:cNvCxnSpPr/>
          </xdr:nvCxnSpPr>
          <xdr:spPr>
            <a:xfrm>
              <a:off x="22143493" y="20539880"/>
              <a:ext cx="0" cy="1036852"/>
            </a:xfrm>
            <a:prstGeom prst="line">
              <a:avLst/>
            </a:prstGeom>
          </xdr:spPr>
          <xdr:style>
            <a:lnRef idx="1">
              <a:schemeClr val="accent3"/>
            </a:lnRef>
            <a:fillRef idx="0">
              <a:schemeClr val="accent3"/>
            </a:fillRef>
            <a:effectRef idx="0">
              <a:schemeClr val="accent3"/>
            </a:effectRef>
            <a:fontRef idx="minor">
              <a:schemeClr val="tx1"/>
            </a:fontRef>
          </xdr:style>
        </xdr:cxnSp>
        <xdr:sp macro="" textlink="">
          <xdr:nvSpPr>
            <xdr:cNvPr id="20" name="TextBox 19">
              <a:extLst>
                <a:ext uri="{FF2B5EF4-FFF2-40B4-BE49-F238E27FC236}">
                  <a16:creationId xmlns:a16="http://schemas.microsoft.com/office/drawing/2014/main" id="{5167D389-310D-4313-B1FC-A74A6FF41237}"/>
                </a:ext>
              </a:extLst>
            </xdr:cNvPr>
            <xdr:cNvSpPr txBox="1"/>
          </xdr:nvSpPr>
          <xdr:spPr>
            <a:xfrm>
              <a:off x="22166238" y="20755970"/>
              <a:ext cx="3411941" cy="92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Average Order Value is ₹2.17L, indicating high-value transactions</a:t>
              </a:r>
            </a:p>
          </xdr:txBody>
        </xdr:sp>
        <xdr:cxnSp macro="">
          <xdr:nvCxnSpPr>
            <xdr:cNvPr id="21" name="Straight Connector 20">
              <a:extLst>
                <a:ext uri="{FF2B5EF4-FFF2-40B4-BE49-F238E27FC236}">
                  <a16:creationId xmlns:a16="http://schemas.microsoft.com/office/drawing/2014/main" id="{30B82D91-4F44-438F-BECE-C4DE2013B1DD}"/>
                </a:ext>
              </a:extLst>
            </xdr:cNvPr>
            <xdr:cNvCxnSpPr/>
          </xdr:nvCxnSpPr>
          <xdr:spPr>
            <a:xfrm>
              <a:off x="25669164" y="20539880"/>
              <a:ext cx="0" cy="1036852"/>
            </a:xfrm>
            <a:prstGeom prst="line">
              <a:avLst/>
            </a:prstGeom>
          </xdr:spPr>
          <xdr:style>
            <a:lnRef idx="1">
              <a:schemeClr val="accent3"/>
            </a:lnRef>
            <a:fillRef idx="0">
              <a:schemeClr val="accent3"/>
            </a:fillRef>
            <a:effectRef idx="0">
              <a:schemeClr val="accent3"/>
            </a:effectRef>
            <a:fontRef idx="minor">
              <a:schemeClr val="tx1"/>
            </a:fontRef>
          </xdr:style>
        </xdr:cxnSp>
      </xdr:grpSp>
      <xdr:sp macro="" textlink="">
        <xdr:nvSpPr>
          <xdr:cNvPr id="26" name="TextBox 25">
            <a:extLst>
              <a:ext uri="{FF2B5EF4-FFF2-40B4-BE49-F238E27FC236}">
                <a16:creationId xmlns:a16="http://schemas.microsoft.com/office/drawing/2014/main" id="{667D4636-D18E-4859-B9BA-F3D153AA7F59}"/>
              </a:ext>
            </a:extLst>
          </xdr:cNvPr>
          <xdr:cNvSpPr txBox="1"/>
        </xdr:nvSpPr>
        <xdr:spPr>
          <a:xfrm>
            <a:off x="26250900" y="23450550"/>
            <a:ext cx="2590800" cy="97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2"/>
                </a:solidFill>
              </a:rPr>
              <a:t>Average discount remains below 10%.</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55389722222" createdVersion="8" refreshedVersion="8" minRefreshableVersion="3" recordCount="1000" xr:uid="{3EE50DDE-5CC1-4F48-A115-CC6FEA4D25D6}">
  <cacheSource type="worksheet">
    <worksheetSource name="Raw_Sales_Data3"/>
  </cacheSource>
  <cacheFields count="15">
    <cacheField name="Order ID" numFmtId="0">
      <sharedItems/>
    </cacheField>
    <cacheField name="Order Date" numFmtId="14">
      <sharedItems containsNonDate="0" containsDate="1" containsString="0" containsBlank="1" minDate="2026-01-01T00:00:00" maxDate="2026-04-01T00:00:00" count="91">
        <d v="2026-02-05T00:00:00"/>
        <d v="2026-01-17T00:00:00"/>
        <d v="2026-02-23T00:00:00"/>
        <d v="2026-03-19T00:00:00"/>
        <d v="2026-01-05T00:00:00"/>
        <d v="2026-01-23T00:00:00"/>
        <d v="2026-01-06T00:00:00"/>
        <d v="2026-03-31T00:00:00"/>
        <d v="2026-03-08T00:00:00"/>
        <d v="2026-01-19T00:00:00"/>
        <d v="2026-03-17T00:00:00"/>
        <d v="2026-01-03T00:00:00"/>
        <d v="2026-01-08T00:00:00"/>
        <d v="2026-03-23T00:00:00"/>
        <d v="2026-02-08T00:00:00"/>
        <d v="2026-01-27T00:00:00"/>
        <d v="2026-02-01T00:00:00"/>
        <d v="2026-03-24T00:00:00"/>
        <d v="2026-01-16T00:00:00"/>
        <d v="2026-02-13T00:00:00"/>
        <d v="2026-01-09T00:00:00"/>
        <d v="2026-03-20T00:00:00"/>
        <d v="2026-02-14T00:00:00"/>
        <d v="2026-01-20T00:00:00"/>
        <d v="2026-03-26T00:00:00"/>
        <d v="2026-03-27T00:00:00"/>
        <d v="2026-02-04T00:00:00"/>
        <d v="2026-02-10T00:00:00"/>
        <d v="2026-02-16T00:00:00"/>
        <d v="2026-01-10T00:00:00"/>
        <d v="2026-03-07T00:00:00"/>
        <m/>
        <d v="2026-02-18T00:00:00"/>
        <d v="2026-03-06T00:00:00"/>
        <d v="2026-03-30T00:00:00"/>
        <d v="2026-01-31T00:00:00"/>
        <d v="2026-01-30T00:00:00"/>
        <d v="2026-02-06T00:00:00"/>
        <d v="2026-03-13T00:00:00"/>
        <d v="2026-02-19T00:00:00"/>
        <d v="2026-02-03T00:00:00"/>
        <d v="2026-01-18T00:00:00"/>
        <d v="2026-01-13T00:00:00"/>
        <d v="2026-02-20T00:00:00"/>
        <d v="2026-03-02T00:00:00"/>
        <d v="2026-03-03T00:00:00"/>
        <d v="2026-01-04T00:00:00"/>
        <d v="2026-02-22T00:00:00"/>
        <d v="2026-03-25T00:00:00"/>
        <d v="2026-03-14T00:00:00"/>
        <d v="2026-03-01T00:00:00"/>
        <d v="2026-03-09T00:00:00"/>
        <d v="2026-01-29T00:00:00"/>
        <d v="2026-03-12T00:00:00"/>
        <d v="2026-03-21T00:00:00"/>
        <d v="2026-03-29T00:00:00"/>
        <d v="2026-01-24T00:00:00"/>
        <d v="2026-01-01T00:00:00"/>
        <d v="2026-03-15T00:00:00"/>
        <d v="2026-01-15T00:00:00"/>
        <d v="2026-02-11T00:00:00"/>
        <d v="2026-03-11T00:00:00"/>
        <d v="2026-02-27T00:00:00"/>
        <d v="2026-02-26T00:00:00"/>
        <d v="2026-02-24T00:00:00"/>
        <d v="2026-01-21T00:00:00"/>
        <d v="2026-01-14T00:00:00"/>
        <d v="2026-02-07T00:00:00"/>
        <d v="2026-01-28T00:00:00"/>
        <d v="2026-03-04T00:00:00"/>
        <d v="2026-01-02T00:00:00"/>
        <d v="2026-02-25T00:00:00"/>
        <d v="2026-02-17T00:00:00"/>
        <d v="2026-01-07T00:00:00"/>
        <d v="2026-03-16T00:00:00"/>
        <d v="2026-02-12T00:00:00"/>
        <d v="2026-01-26T00:00:00"/>
        <d v="2026-03-10T00:00:00"/>
        <d v="2026-02-09T00:00:00"/>
        <d v="2026-03-28T00:00:00"/>
        <d v="2026-01-12T00:00:00"/>
        <d v="2026-02-21T00:00:00"/>
        <d v="2026-02-02T00:00:00"/>
        <d v="2026-01-25T00:00:00"/>
        <d v="2026-01-11T00:00:00"/>
        <d v="2026-03-05T00:00:00"/>
        <d v="2026-03-18T00:00:00"/>
        <d v="2026-03-22T00:00:00"/>
        <d v="2026-01-22T00:00:00"/>
        <d v="2026-02-28T00:00:00"/>
        <d v="2026-02-15T00:00:00"/>
      </sharedItems>
      <fieldGroup par="14"/>
    </cacheField>
    <cacheField name="Customer" numFmtId="0">
      <sharedItems count="20">
        <s v="Ritu Sharma"/>
        <s v="Amit Sharma"/>
        <s v="Pooja Mehta"/>
        <s v="Nisha Jain"/>
        <s v="Meera Nair"/>
        <s v="Rohan Singh"/>
        <s v="Aditya Joshi"/>
        <s v="Priya Patel"/>
        <s v="Mohit Kumar"/>
        <s v="Harsh Patel"/>
        <s v="Ravi Kumar"/>
        <s v="Snehal Kulkarni"/>
        <s v="Komal Gupta"/>
        <s v="Deepak Rao"/>
        <s v="Vikram Joshi"/>
        <s v="Karan Shah"/>
        <s v="Sonia Kapoor"/>
        <s v="Neha Gupta"/>
        <s v="Anjali Verma"/>
        <s v="Aisha Khan"/>
      </sharedItems>
    </cacheField>
    <cacheField name="Region" numFmtId="0">
      <sharedItems count="4">
        <s v="East"/>
        <s v="South"/>
        <s v="West"/>
        <s v="North"/>
      </sharedItems>
    </cacheField>
    <cacheField name="Salesperson" numFmtId="0">
      <sharedItems count="5">
        <s v="Rahul"/>
        <s v="Rohit"/>
        <s v="Kiran"/>
        <s v="Sneha"/>
        <s v="Ajay"/>
      </sharedItems>
    </cacheField>
    <cacheField name="Category" numFmtId="0">
      <sharedItems count="3">
        <s v="Furniture"/>
        <s v="Electronics"/>
        <s v="Office Supplies"/>
      </sharedItems>
    </cacheField>
    <cacheField name="Product" numFmtId="0">
      <sharedItems count="24">
        <s v="Cabinet"/>
        <s v="Headphones"/>
        <s v="File Cabinet"/>
        <s v="Projector"/>
        <s v="Speaker"/>
        <s v="Camera"/>
        <s v="Monitor"/>
        <s v="Tablet"/>
        <s v="Chair"/>
        <s v="Stapler"/>
        <s v="Scanner"/>
        <s v="Mouse"/>
        <s v="Dining Table"/>
        <s v="Printer"/>
        <s v="Coffee Table"/>
        <s v="Whiteboard"/>
        <s v="Laptop"/>
        <s v="Desk"/>
        <s v="Bed"/>
        <s v="Bookshelf"/>
        <s v="Keyboard"/>
        <s v="Sofa"/>
        <s v="Smartphone"/>
        <s v="Tv"/>
      </sharedItems>
    </cacheField>
    <cacheField name="Quantity" numFmtId="2">
      <sharedItems containsSemiMixedTypes="0" containsString="0" containsNumber="1" minValue="1" maxValue="15"/>
    </cacheField>
    <cacheField name="Unit Price" numFmtId="165">
      <sharedItems containsSemiMixedTypes="0" containsString="0" containsNumber="1" minValue="503" maxValue="59996"/>
    </cacheField>
    <cacheField name="Discount %" numFmtId="1">
      <sharedItems containsSemiMixedTypes="0" containsString="0" containsNumber="1" containsInteger="1" minValue="0" maxValue="20"/>
    </cacheField>
    <cacheField name="Sales" numFmtId="164">
      <sharedItems containsSemiMixedTypes="0" containsString="0" containsNumber="1" minValue="1140" maxValue="830903.25"/>
    </cacheField>
    <cacheField name="Discount Amount" numFmtId="164">
      <sharedItems containsSemiMixedTypes="0" containsString="0" containsNumber="1" minValue="0" maxValue="179778"/>
    </cacheField>
    <cacheField name="Duplicate Id Check" numFmtId="0">
      <sharedItems/>
    </cacheField>
    <cacheField name="Days (Order Date)" numFmtId="0" databaseField="0">
      <fieldGroup base="1">
        <rangePr groupBy="days" startDate="2026-01-01T00:00:00" endDate="2026-04-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6"/>
        </groupItems>
      </fieldGroup>
    </cacheField>
    <cacheField name="Months (Order Date)" numFmtId="0" databaseField="0">
      <fieldGroup base="1">
        <rangePr groupBy="months" startDate="2026-01-01T00:00:00" endDate="2026-04-01T00:00:00"/>
        <groupItems count="14">
          <s v="&lt;01-01-2026"/>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388128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1"/>
    <x v="0"/>
    <x v="0"/>
    <x v="0"/>
    <x v="0"/>
    <x v="0"/>
    <x v="0"/>
    <n v="14"/>
    <n v="41963"/>
    <n v="20"/>
    <n v="469985.6"/>
    <n v="117496.40000000001"/>
    <s v="Unique Order ID"/>
  </r>
  <r>
    <s v="ORD10002"/>
    <x v="1"/>
    <x v="1"/>
    <x v="1"/>
    <x v="1"/>
    <x v="1"/>
    <x v="1"/>
    <n v="3"/>
    <n v="9724"/>
    <n v="0"/>
    <n v="29172"/>
    <n v="0"/>
    <s v="Unique Order ID"/>
  </r>
  <r>
    <s v="ORD10003"/>
    <x v="2"/>
    <x v="2"/>
    <x v="1"/>
    <x v="1"/>
    <x v="2"/>
    <x v="2"/>
    <n v="4"/>
    <n v="48847"/>
    <n v="20"/>
    <n v="156310.39999999999"/>
    <n v="39077.599999999999"/>
    <s v="Unique Order ID"/>
  </r>
  <r>
    <s v="ORD10004"/>
    <x v="3"/>
    <x v="3"/>
    <x v="2"/>
    <x v="2"/>
    <x v="2"/>
    <x v="3"/>
    <n v="5"/>
    <n v="21900"/>
    <n v="20"/>
    <n v="87600"/>
    <n v="21900"/>
    <s v="Unique Order ID"/>
  </r>
  <r>
    <s v="ORD10005"/>
    <x v="4"/>
    <x v="4"/>
    <x v="1"/>
    <x v="1"/>
    <x v="1"/>
    <x v="4"/>
    <n v="10"/>
    <n v="43412"/>
    <n v="10"/>
    <n v="390708"/>
    <n v="43412"/>
    <s v="Unique Order ID"/>
  </r>
  <r>
    <s v="ORD10006"/>
    <x v="5"/>
    <x v="5"/>
    <x v="3"/>
    <x v="3"/>
    <x v="2"/>
    <x v="3"/>
    <n v="4"/>
    <n v="8907"/>
    <n v="15"/>
    <n v="30283.8"/>
    <n v="5344.2"/>
    <s v="Unique Order ID"/>
  </r>
  <r>
    <s v="ORD10007"/>
    <x v="1"/>
    <x v="6"/>
    <x v="2"/>
    <x v="1"/>
    <x v="2"/>
    <x v="3"/>
    <n v="6"/>
    <n v="10421"/>
    <n v="0"/>
    <n v="62526"/>
    <n v="0"/>
    <s v="Unique Order ID"/>
  </r>
  <r>
    <s v="ORD10008"/>
    <x v="6"/>
    <x v="7"/>
    <x v="3"/>
    <x v="4"/>
    <x v="2"/>
    <x v="5"/>
    <n v="11"/>
    <n v="35012"/>
    <n v="5"/>
    <n v="365875.4"/>
    <n v="19256.600000000002"/>
    <s v="Unique Order ID"/>
  </r>
  <r>
    <s v="ORD10009"/>
    <x v="1"/>
    <x v="8"/>
    <x v="0"/>
    <x v="3"/>
    <x v="1"/>
    <x v="6"/>
    <n v="3"/>
    <n v="32854"/>
    <n v="0"/>
    <n v="98562"/>
    <n v="0"/>
    <s v="Unique Order ID"/>
  </r>
  <r>
    <s v="ORD10010"/>
    <x v="7"/>
    <x v="9"/>
    <x v="1"/>
    <x v="1"/>
    <x v="1"/>
    <x v="7"/>
    <n v="8"/>
    <n v="27803"/>
    <n v="0"/>
    <n v="222424"/>
    <n v="0"/>
    <s v="Unique Order ID"/>
  </r>
  <r>
    <s v="ORD10011"/>
    <x v="8"/>
    <x v="10"/>
    <x v="1"/>
    <x v="1"/>
    <x v="2"/>
    <x v="3"/>
    <n v="14"/>
    <n v="15767"/>
    <n v="20"/>
    <n v="176590.4"/>
    <n v="44147.600000000006"/>
    <s v="Unique Order ID"/>
  </r>
  <r>
    <s v="ORD10012"/>
    <x v="9"/>
    <x v="11"/>
    <x v="1"/>
    <x v="3"/>
    <x v="0"/>
    <x v="8"/>
    <n v="10"/>
    <n v="20085"/>
    <n v="0"/>
    <n v="200850"/>
    <n v="0"/>
    <s v="Unique Order ID"/>
  </r>
  <r>
    <s v="ORD10013"/>
    <x v="10"/>
    <x v="3"/>
    <x v="0"/>
    <x v="1"/>
    <x v="2"/>
    <x v="9"/>
    <n v="12"/>
    <n v="40340"/>
    <n v="20"/>
    <n v="387264"/>
    <n v="96816"/>
    <s v="Duplicate Order ID"/>
  </r>
  <r>
    <s v="ORD10013"/>
    <x v="11"/>
    <x v="12"/>
    <x v="1"/>
    <x v="4"/>
    <x v="2"/>
    <x v="10"/>
    <n v="15"/>
    <n v="29846"/>
    <n v="15"/>
    <n v="380536.5"/>
    <n v="67153.5"/>
    <s v="Duplicate Order ID"/>
  </r>
  <r>
    <s v="ORD10015"/>
    <x v="12"/>
    <x v="13"/>
    <x v="2"/>
    <x v="2"/>
    <x v="1"/>
    <x v="11"/>
    <n v="2"/>
    <n v="22923"/>
    <n v="20"/>
    <n v="36676.800000000003"/>
    <n v="9169.2000000000007"/>
    <s v="Unique Order ID"/>
  </r>
  <r>
    <s v="ORD10016"/>
    <x v="12"/>
    <x v="13"/>
    <x v="1"/>
    <x v="2"/>
    <x v="2"/>
    <x v="10"/>
    <n v="12"/>
    <n v="2909"/>
    <n v="5"/>
    <n v="33162.6"/>
    <n v="1745.4"/>
    <s v="Unique Order ID"/>
  </r>
  <r>
    <s v="ORD10017"/>
    <x v="13"/>
    <x v="14"/>
    <x v="3"/>
    <x v="3"/>
    <x v="1"/>
    <x v="5"/>
    <n v="1"/>
    <n v="59429"/>
    <n v="10"/>
    <n v="53486.1"/>
    <n v="5942.9000000000005"/>
    <s v="Unique Order ID"/>
  </r>
  <r>
    <s v="ORD10018"/>
    <x v="14"/>
    <x v="15"/>
    <x v="2"/>
    <x v="3"/>
    <x v="2"/>
    <x v="3"/>
    <n v="4"/>
    <n v="24782"/>
    <n v="5"/>
    <n v="94171.6"/>
    <n v="4956.4000000000005"/>
    <s v="Unique Order ID"/>
  </r>
  <r>
    <s v="ORD10019"/>
    <x v="15"/>
    <x v="0"/>
    <x v="1"/>
    <x v="0"/>
    <x v="0"/>
    <x v="12"/>
    <n v="6"/>
    <n v="4943"/>
    <n v="0"/>
    <n v="29658"/>
    <n v="0"/>
    <s v="Unique Order ID"/>
  </r>
  <r>
    <s v="ORD10020"/>
    <x v="16"/>
    <x v="11"/>
    <x v="2"/>
    <x v="2"/>
    <x v="1"/>
    <x v="1"/>
    <n v="3"/>
    <n v="26972.399999999998"/>
    <n v="5"/>
    <n v="80917.2"/>
    <n v="4045.86"/>
    <s v="Unique Order ID"/>
  </r>
  <r>
    <s v="ORD10021"/>
    <x v="17"/>
    <x v="4"/>
    <x v="3"/>
    <x v="2"/>
    <x v="2"/>
    <x v="13"/>
    <n v="8"/>
    <n v="36089"/>
    <n v="10"/>
    <n v="259840.8"/>
    <n v="28871.200000000001"/>
    <s v="Unique Order ID"/>
  </r>
  <r>
    <s v="ORD10022"/>
    <x v="18"/>
    <x v="2"/>
    <x v="3"/>
    <x v="2"/>
    <x v="0"/>
    <x v="14"/>
    <n v="1"/>
    <n v="39900"/>
    <n v="0"/>
    <n v="39900"/>
    <n v="0"/>
    <s v="Unique Order ID"/>
  </r>
  <r>
    <s v="ORD10023"/>
    <x v="19"/>
    <x v="5"/>
    <x v="1"/>
    <x v="1"/>
    <x v="1"/>
    <x v="11"/>
    <n v="8"/>
    <n v="54319"/>
    <n v="0"/>
    <n v="434552"/>
    <n v="0"/>
    <s v="Unique Order ID"/>
  </r>
  <r>
    <s v="ORD10024"/>
    <x v="20"/>
    <x v="8"/>
    <x v="1"/>
    <x v="0"/>
    <x v="1"/>
    <x v="7"/>
    <n v="14"/>
    <n v="54969"/>
    <n v="0"/>
    <n v="769566"/>
    <n v="0"/>
    <s v="Unique Order ID"/>
  </r>
  <r>
    <s v="ORD10025"/>
    <x v="4"/>
    <x v="12"/>
    <x v="0"/>
    <x v="0"/>
    <x v="2"/>
    <x v="15"/>
    <n v="2"/>
    <n v="10426"/>
    <n v="15"/>
    <n v="17724.2"/>
    <n v="3127.7999999999997"/>
    <s v="Unique Order ID"/>
  </r>
  <r>
    <s v="ORD10026"/>
    <x v="21"/>
    <x v="3"/>
    <x v="1"/>
    <x v="3"/>
    <x v="1"/>
    <x v="16"/>
    <n v="14"/>
    <n v="25305"/>
    <n v="0"/>
    <n v="354270"/>
    <n v="0"/>
    <s v="Unique Order ID"/>
  </r>
  <r>
    <s v="ORD10027"/>
    <x v="22"/>
    <x v="7"/>
    <x v="2"/>
    <x v="1"/>
    <x v="1"/>
    <x v="1"/>
    <n v="7"/>
    <n v="48736"/>
    <n v="20"/>
    <n v="272921.59999999998"/>
    <n v="68230.400000000009"/>
    <s v="Unique Order ID"/>
  </r>
  <r>
    <s v="ORD10028"/>
    <x v="6"/>
    <x v="2"/>
    <x v="1"/>
    <x v="0"/>
    <x v="0"/>
    <x v="8"/>
    <n v="6"/>
    <n v="35541"/>
    <n v="0"/>
    <n v="213246"/>
    <n v="0"/>
    <s v="Duplicate Order ID"/>
  </r>
  <r>
    <s v="ORD10028"/>
    <x v="10"/>
    <x v="2"/>
    <x v="1"/>
    <x v="2"/>
    <x v="1"/>
    <x v="16"/>
    <n v="12"/>
    <n v="9109"/>
    <n v="0"/>
    <n v="109308"/>
    <n v="0"/>
    <s v="Duplicate Order ID"/>
  </r>
  <r>
    <s v="ORD10030"/>
    <x v="23"/>
    <x v="14"/>
    <x v="2"/>
    <x v="0"/>
    <x v="2"/>
    <x v="15"/>
    <n v="13"/>
    <n v="55952"/>
    <n v="10"/>
    <n v="654638.4"/>
    <n v="72737.600000000006"/>
    <s v="Unique Order ID"/>
  </r>
  <r>
    <s v="ORD10031"/>
    <x v="24"/>
    <x v="0"/>
    <x v="3"/>
    <x v="3"/>
    <x v="0"/>
    <x v="0"/>
    <n v="13"/>
    <n v="47117"/>
    <n v="5"/>
    <n v="581894.94999999995"/>
    <n v="30626.050000000003"/>
    <s v="Unique Order ID"/>
  </r>
  <r>
    <s v="ORD10032"/>
    <x v="6"/>
    <x v="6"/>
    <x v="1"/>
    <x v="4"/>
    <x v="0"/>
    <x v="12"/>
    <n v="3"/>
    <n v="1242"/>
    <n v="0"/>
    <n v="3726"/>
    <n v="0"/>
    <s v="Unique Order ID"/>
  </r>
  <r>
    <s v="ORD10033"/>
    <x v="25"/>
    <x v="16"/>
    <x v="1"/>
    <x v="4"/>
    <x v="2"/>
    <x v="9"/>
    <n v="10"/>
    <n v="59608"/>
    <n v="0"/>
    <n v="596080"/>
    <n v="0"/>
    <s v="Unique Order ID"/>
  </r>
  <r>
    <s v="ORD10034"/>
    <x v="26"/>
    <x v="3"/>
    <x v="3"/>
    <x v="3"/>
    <x v="2"/>
    <x v="13"/>
    <n v="12"/>
    <n v="2607"/>
    <n v="15"/>
    <n v="26591.4"/>
    <n v="4692.5999999999995"/>
    <s v="Unique Order ID"/>
  </r>
  <r>
    <s v="ORD10035"/>
    <x v="18"/>
    <x v="17"/>
    <x v="3"/>
    <x v="1"/>
    <x v="1"/>
    <x v="11"/>
    <n v="10"/>
    <n v="54562"/>
    <n v="5"/>
    <n v="518339"/>
    <n v="27281"/>
    <s v="Unique Order ID"/>
  </r>
  <r>
    <s v="ORD10036"/>
    <x v="22"/>
    <x v="18"/>
    <x v="1"/>
    <x v="0"/>
    <x v="1"/>
    <x v="16"/>
    <n v="13"/>
    <n v="52153"/>
    <n v="0"/>
    <n v="677989"/>
    <n v="0"/>
    <s v="Unique Order ID"/>
  </r>
  <r>
    <s v="ORD10037"/>
    <x v="27"/>
    <x v="9"/>
    <x v="2"/>
    <x v="4"/>
    <x v="1"/>
    <x v="7"/>
    <n v="15"/>
    <n v="25324"/>
    <n v="5"/>
    <n v="360867"/>
    <n v="18993"/>
    <s v="Unique Order ID"/>
  </r>
  <r>
    <s v="ORD10038"/>
    <x v="28"/>
    <x v="16"/>
    <x v="2"/>
    <x v="2"/>
    <x v="0"/>
    <x v="12"/>
    <n v="13"/>
    <n v="19712"/>
    <n v="10"/>
    <n v="230630.39999999999"/>
    <n v="25625.600000000002"/>
    <s v="Unique Order ID"/>
  </r>
  <r>
    <s v="ORD10039"/>
    <x v="29"/>
    <x v="1"/>
    <x v="0"/>
    <x v="2"/>
    <x v="2"/>
    <x v="13"/>
    <n v="2"/>
    <n v="44490"/>
    <n v="20"/>
    <n v="71184"/>
    <n v="17796"/>
    <s v="Unique Order ID"/>
  </r>
  <r>
    <s v="ORD10040"/>
    <x v="30"/>
    <x v="7"/>
    <x v="2"/>
    <x v="4"/>
    <x v="0"/>
    <x v="17"/>
    <n v="7.9999999999999991"/>
    <n v="31116"/>
    <n v="20"/>
    <n v="199142.39999999999"/>
    <n v="49785.599999999999"/>
    <s v="Unique Order ID"/>
  </r>
  <r>
    <s v="ORD10041"/>
    <x v="31"/>
    <x v="12"/>
    <x v="3"/>
    <x v="3"/>
    <x v="0"/>
    <x v="8"/>
    <n v="5"/>
    <n v="4170"/>
    <n v="5"/>
    <n v="19807.5"/>
    <n v="1042.5"/>
    <s v="Unique Order ID"/>
  </r>
  <r>
    <s v="ORD10042"/>
    <x v="14"/>
    <x v="17"/>
    <x v="1"/>
    <x v="3"/>
    <x v="0"/>
    <x v="18"/>
    <n v="13"/>
    <n v="57192"/>
    <n v="15"/>
    <n v="631971.6"/>
    <n v="111524.4"/>
    <s v="Unique Order ID"/>
  </r>
  <r>
    <s v="ORD10043"/>
    <x v="32"/>
    <x v="0"/>
    <x v="2"/>
    <x v="4"/>
    <x v="2"/>
    <x v="2"/>
    <n v="13"/>
    <n v="18484"/>
    <n v="10"/>
    <n v="216262.8"/>
    <n v="24029.200000000001"/>
    <s v="Unique Order ID"/>
  </r>
  <r>
    <s v="ORD10044"/>
    <x v="33"/>
    <x v="7"/>
    <x v="1"/>
    <x v="4"/>
    <x v="0"/>
    <x v="7"/>
    <n v="15"/>
    <n v="26578"/>
    <n v="10"/>
    <n v="358803"/>
    <n v="39867"/>
    <s v="Unique Order ID"/>
  </r>
  <r>
    <s v="ORD10045"/>
    <x v="19"/>
    <x v="16"/>
    <x v="2"/>
    <x v="4"/>
    <x v="2"/>
    <x v="15"/>
    <n v="4"/>
    <n v="11215"/>
    <n v="0"/>
    <n v="44860"/>
    <n v="0"/>
    <s v="Unique Order ID"/>
  </r>
  <r>
    <s v="ORD10046"/>
    <x v="34"/>
    <x v="4"/>
    <x v="3"/>
    <x v="4"/>
    <x v="0"/>
    <x v="19"/>
    <n v="13"/>
    <n v="15772"/>
    <n v="10"/>
    <n v="184532.4"/>
    <n v="20503.600000000002"/>
    <s v="Unique Order ID"/>
  </r>
  <r>
    <s v="ORD10047"/>
    <x v="35"/>
    <x v="0"/>
    <x v="0"/>
    <x v="1"/>
    <x v="2"/>
    <x v="14"/>
    <n v="2"/>
    <n v="51895"/>
    <n v="0"/>
    <n v="103790"/>
    <n v="0"/>
    <s v="Unique Order ID"/>
  </r>
  <r>
    <s v="ORD10048"/>
    <x v="36"/>
    <x v="1"/>
    <x v="2"/>
    <x v="0"/>
    <x v="1"/>
    <x v="5"/>
    <n v="5"/>
    <n v="17065"/>
    <n v="20"/>
    <n v="68260"/>
    <n v="17065"/>
    <s v="Duplicate Order ID"/>
  </r>
  <r>
    <s v="ORD10048"/>
    <x v="35"/>
    <x v="9"/>
    <x v="1"/>
    <x v="4"/>
    <x v="2"/>
    <x v="9"/>
    <n v="12"/>
    <n v="44021"/>
    <n v="5"/>
    <n v="501839.4"/>
    <n v="26412.600000000002"/>
    <s v="Duplicate Order ID"/>
  </r>
  <r>
    <s v="ORD10050"/>
    <x v="7"/>
    <x v="17"/>
    <x v="2"/>
    <x v="1"/>
    <x v="2"/>
    <x v="9"/>
    <n v="12"/>
    <n v="28950"/>
    <n v="5"/>
    <n v="330030"/>
    <n v="17370"/>
    <s v="Unique Order ID"/>
  </r>
  <r>
    <s v="ORD10051"/>
    <x v="37"/>
    <x v="6"/>
    <x v="2"/>
    <x v="2"/>
    <x v="2"/>
    <x v="9"/>
    <n v="9"/>
    <n v="5881"/>
    <n v="15"/>
    <n v="44989.65"/>
    <n v="7939.3499999999995"/>
    <s v="Unique Order ID"/>
  </r>
  <r>
    <s v="ORD10052"/>
    <x v="38"/>
    <x v="14"/>
    <x v="1"/>
    <x v="0"/>
    <x v="2"/>
    <x v="9"/>
    <n v="1"/>
    <n v="36143"/>
    <n v="15"/>
    <n v="30721.55"/>
    <n v="5421.45"/>
    <s v="Unique Order ID"/>
  </r>
  <r>
    <s v="ORD10053"/>
    <x v="39"/>
    <x v="4"/>
    <x v="1"/>
    <x v="2"/>
    <x v="1"/>
    <x v="4"/>
    <n v="8"/>
    <n v="7116"/>
    <n v="0"/>
    <n v="56928"/>
    <n v="0"/>
    <s v="Unique Order ID"/>
  </r>
  <r>
    <s v="ORD10054"/>
    <x v="40"/>
    <x v="9"/>
    <x v="1"/>
    <x v="2"/>
    <x v="1"/>
    <x v="1"/>
    <n v="9"/>
    <n v="56802"/>
    <n v="5"/>
    <n v="485657.1"/>
    <n v="25560.9"/>
    <s v="Unique Order ID"/>
  </r>
  <r>
    <s v="ORD10055"/>
    <x v="31"/>
    <x v="1"/>
    <x v="0"/>
    <x v="0"/>
    <x v="2"/>
    <x v="10"/>
    <n v="8"/>
    <n v="28420"/>
    <n v="0"/>
    <n v="227360"/>
    <n v="0"/>
    <s v="Unique Order ID"/>
  </r>
  <r>
    <s v="ORD10056"/>
    <x v="41"/>
    <x v="14"/>
    <x v="2"/>
    <x v="1"/>
    <x v="1"/>
    <x v="16"/>
    <n v="13"/>
    <n v="17161"/>
    <n v="20"/>
    <n v="178474.4"/>
    <n v="44618.600000000006"/>
    <s v="Unique Order ID"/>
  </r>
  <r>
    <s v="ORD10057"/>
    <x v="42"/>
    <x v="17"/>
    <x v="3"/>
    <x v="4"/>
    <x v="1"/>
    <x v="16"/>
    <n v="12"/>
    <n v="29466"/>
    <n v="10"/>
    <n v="318232.8"/>
    <n v="35359.200000000004"/>
    <s v="Duplicate Order ID"/>
  </r>
  <r>
    <s v="ORD10057"/>
    <x v="43"/>
    <x v="3"/>
    <x v="0"/>
    <x v="1"/>
    <x v="2"/>
    <x v="9"/>
    <n v="8"/>
    <n v="44285"/>
    <n v="20"/>
    <n v="283424"/>
    <n v="70856"/>
    <s v="Duplicate Order ID"/>
  </r>
  <r>
    <s v="ORD10059"/>
    <x v="44"/>
    <x v="8"/>
    <x v="2"/>
    <x v="1"/>
    <x v="1"/>
    <x v="11"/>
    <n v="13"/>
    <n v="35285"/>
    <n v="0"/>
    <n v="458705"/>
    <n v="0"/>
    <s v="Unique Order ID"/>
  </r>
  <r>
    <s v="ORD10060"/>
    <x v="30"/>
    <x v="8"/>
    <x v="2"/>
    <x v="4"/>
    <x v="2"/>
    <x v="15"/>
    <n v="9"/>
    <n v="12266"/>
    <n v="15"/>
    <n v="93834.9"/>
    <n v="16559.099999999999"/>
    <s v="Unique Order ID"/>
  </r>
  <r>
    <s v="ORD10061"/>
    <x v="31"/>
    <x v="7"/>
    <x v="2"/>
    <x v="0"/>
    <x v="1"/>
    <x v="6"/>
    <n v="10"/>
    <n v="6145"/>
    <n v="0"/>
    <n v="61450"/>
    <n v="0"/>
    <s v="Unique Order ID"/>
  </r>
  <r>
    <s v="ORD10062"/>
    <x v="16"/>
    <x v="14"/>
    <x v="2"/>
    <x v="4"/>
    <x v="0"/>
    <x v="18"/>
    <n v="13"/>
    <n v="40172"/>
    <n v="20"/>
    <n v="417788.8"/>
    <n v="104447.20000000001"/>
    <s v="Unique Order ID"/>
  </r>
  <r>
    <s v="ORD10063"/>
    <x v="45"/>
    <x v="2"/>
    <x v="2"/>
    <x v="2"/>
    <x v="1"/>
    <x v="20"/>
    <n v="15"/>
    <n v="13528"/>
    <n v="0"/>
    <n v="202920"/>
    <n v="0"/>
    <s v="Unique Order ID"/>
  </r>
  <r>
    <s v="ORD10064"/>
    <x v="46"/>
    <x v="8"/>
    <x v="1"/>
    <x v="4"/>
    <x v="2"/>
    <x v="9"/>
    <n v="13"/>
    <n v="50348"/>
    <n v="15"/>
    <n v="556345.4"/>
    <n v="98178.599999999991"/>
    <s v="Unique Order ID"/>
  </r>
  <r>
    <s v="ORD10065"/>
    <x v="47"/>
    <x v="19"/>
    <x v="1"/>
    <x v="2"/>
    <x v="1"/>
    <x v="16"/>
    <n v="3"/>
    <n v="31417.45"/>
    <n v="5"/>
    <n v="94252.35"/>
    <n v="4712.6175000000003"/>
    <s v="Unique Order ID"/>
  </r>
  <r>
    <s v="ORD10066"/>
    <x v="20"/>
    <x v="19"/>
    <x v="1"/>
    <x v="4"/>
    <x v="0"/>
    <x v="21"/>
    <n v="7"/>
    <n v="31084"/>
    <n v="20"/>
    <n v="174070.39999999999"/>
    <n v="43517.600000000006"/>
    <s v="Unique Order ID"/>
  </r>
  <r>
    <s v="ORD10067"/>
    <x v="48"/>
    <x v="14"/>
    <x v="2"/>
    <x v="4"/>
    <x v="2"/>
    <x v="2"/>
    <n v="10"/>
    <n v="1903"/>
    <n v="5"/>
    <n v="18078.5"/>
    <n v="951.5"/>
    <s v="Unique Order ID"/>
  </r>
  <r>
    <s v="ORD10068"/>
    <x v="49"/>
    <x v="15"/>
    <x v="2"/>
    <x v="4"/>
    <x v="2"/>
    <x v="13"/>
    <n v="8"/>
    <n v="36311"/>
    <n v="10"/>
    <n v="261439.2"/>
    <n v="29048.800000000003"/>
    <s v="Unique Order ID"/>
  </r>
  <r>
    <s v="ORD10069"/>
    <x v="50"/>
    <x v="0"/>
    <x v="3"/>
    <x v="2"/>
    <x v="1"/>
    <x v="5"/>
    <n v="12"/>
    <n v="23754"/>
    <n v="0"/>
    <n v="256543.2"/>
    <n v="0"/>
    <s v="Unique Order ID"/>
  </r>
  <r>
    <s v="ORD10070"/>
    <x v="51"/>
    <x v="0"/>
    <x v="0"/>
    <x v="0"/>
    <x v="1"/>
    <x v="6"/>
    <n v="4"/>
    <n v="52965"/>
    <n v="0"/>
    <n v="211860"/>
    <n v="0"/>
    <s v="Unique Order ID"/>
  </r>
  <r>
    <s v="ORD10071"/>
    <x v="52"/>
    <x v="13"/>
    <x v="3"/>
    <x v="1"/>
    <x v="0"/>
    <x v="19"/>
    <n v="5"/>
    <n v="36268"/>
    <n v="15"/>
    <n v="154139"/>
    <n v="27201"/>
    <s v="Unique Order ID"/>
  </r>
  <r>
    <s v="ORD10072"/>
    <x v="42"/>
    <x v="15"/>
    <x v="3"/>
    <x v="1"/>
    <x v="2"/>
    <x v="3"/>
    <n v="10"/>
    <n v="28080"/>
    <n v="15"/>
    <n v="238680"/>
    <n v="42120"/>
    <s v="Unique Order ID"/>
  </r>
  <r>
    <s v="ORD10073"/>
    <x v="53"/>
    <x v="13"/>
    <x v="1"/>
    <x v="2"/>
    <x v="0"/>
    <x v="21"/>
    <n v="6"/>
    <n v="14679"/>
    <n v="10"/>
    <n v="79266.600000000006"/>
    <n v="8807.4"/>
    <s v="Unique Order ID"/>
  </r>
  <r>
    <s v="ORD10074"/>
    <x v="13"/>
    <x v="15"/>
    <x v="2"/>
    <x v="0"/>
    <x v="2"/>
    <x v="2"/>
    <n v="10"/>
    <n v="33248"/>
    <n v="20"/>
    <n v="265984"/>
    <n v="66496"/>
    <s v="Unique Order ID"/>
  </r>
  <r>
    <s v="ORD10075"/>
    <x v="54"/>
    <x v="15"/>
    <x v="3"/>
    <x v="2"/>
    <x v="0"/>
    <x v="14"/>
    <n v="15"/>
    <n v="18764"/>
    <n v="10"/>
    <n v="253314"/>
    <n v="28146"/>
    <s v="Unique Order ID"/>
  </r>
  <r>
    <s v="ORD10076"/>
    <x v="37"/>
    <x v="3"/>
    <x v="3"/>
    <x v="1"/>
    <x v="2"/>
    <x v="13"/>
    <n v="12"/>
    <n v="33609"/>
    <n v="5"/>
    <n v="383142.6"/>
    <n v="20165.400000000001"/>
    <s v="Unique Order ID"/>
  </r>
  <r>
    <s v="ORD10077"/>
    <x v="55"/>
    <x v="8"/>
    <x v="1"/>
    <x v="0"/>
    <x v="0"/>
    <x v="8"/>
    <n v="3"/>
    <n v="12728"/>
    <n v="20"/>
    <n v="30547.200000000001"/>
    <n v="7636.8"/>
    <s v="Unique Order ID"/>
  </r>
  <r>
    <s v="ORD10078"/>
    <x v="26"/>
    <x v="12"/>
    <x v="2"/>
    <x v="4"/>
    <x v="1"/>
    <x v="1"/>
    <n v="2"/>
    <n v="14857"/>
    <n v="0"/>
    <n v="29714"/>
    <n v="0"/>
    <s v="Unique Order ID"/>
  </r>
  <r>
    <s v="ORD10079"/>
    <x v="25"/>
    <x v="7"/>
    <x v="0"/>
    <x v="2"/>
    <x v="0"/>
    <x v="14"/>
    <n v="12"/>
    <n v="10266"/>
    <n v="0"/>
    <n v="123192"/>
    <n v="0"/>
    <s v="Unique Order ID"/>
  </r>
  <r>
    <s v="ORD10080"/>
    <x v="50"/>
    <x v="12"/>
    <x v="2"/>
    <x v="2"/>
    <x v="2"/>
    <x v="15"/>
    <n v="13"/>
    <n v="31554"/>
    <n v="0"/>
    <n v="410202"/>
    <n v="0"/>
    <s v="Unique Order ID"/>
  </r>
  <r>
    <s v="ORD10081"/>
    <x v="25"/>
    <x v="3"/>
    <x v="2"/>
    <x v="1"/>
    <x v="2"/>
    <x v="3"/>
    <n v="14"/>
    <n v="51539"/>
    <n v="0"/>
    <n v="721546"/>
    <n v="0"/>
    <s v="Unique Order ID"/>
  </r>
  <r>
    <s v="ORD10082"/>
    <x v="56"/>
    <x v="14"/>
    <x v="2"/>
    <x v="3"/>
    <x v="1"/>
    <x v="1"/>
    <n v="15"/>
    <n v="9711"/>
    <n v="10"/>
    <n v="131098.5"/>
    <n v="14566.5"/>
    <s v="Unique Order ID"/>
  </r>
  <r>
    <s v="ORD10083"/>
    <x v="57"/>
    <x v="15"/>
    <x v="1"/>
    <x v="0"/>
    <x v="0"/>
    <x v="17"/>
    <n v="3"/>
    <n v="40854"/>
    <n v="5"/>
    <n v="116433.9"/>
    <n v="6128.1"/>
    <s v="Unique Order ID"/>
  </r>
  <r>
    <s v="ORD10084"/>
    <x v="29"/>
    <x v="4"/>
    <x v="2"/>
    <x v="3"/>
    <x v="2"/>
    <x v="9"/>
    <n v="13"/>
    <n v="43260"/>
    <n v="0"/>
    <n v="562380"/>
    <n v="0"/>
    <s v="Duplicate Order ID"/>
  </r>
  <r>
    <s v="ORD10084"/>
    <x v="15"/>
    <x v="7"/>
    <x v="2"/>
    <x v="3"/>
    <x v="0"/>
    <x v="19"/>
    <n v="2"/>
    <n v="23668"/>
    <n v="0"/>
    <n v="47336"/>
    <n v="0"/>
    <s v="Duplicate Order ID"/>
  </r>
  <r>
    <s v="ORD10086"/>
    <x v="41"/>
    <x v="8"/>
    <x v="1"/>
    <x v="4"/>
    <x v="0"/>
    <x v="0"/>
    <n v="1"/>
    <n v="14135"/>
    <n v="15"/>
    <n v="12014.75"/>
    <n v="2120.25"/>
    <s v="Unique Order ID"/>
  </r>
  <r>
    <s v="ORD10087"/>
    <x v="58"/>
    <x v="14"/>
    <x v="2"/>
    <x v="0"/>
    <x v="2"/>
    <x v="15"/>
    <n v="13"/>
    <n v="16221"/>
    <n v="0"/>
    <n v="210873"/>
    <n v="0"/>
    <s v="Unique Order ID"/>
  </r>
  <r>
    <s v="ORD10088"/>
    <x v="59"/>
    <x v="7"/>
    <x v="1"/>
    <x v="4"/>
    <x v="1"/>
    <x v="22"/>
    <n v="1"/>
    <n v="38855"/>
    <n v="0"/>
    <n v="38855"/>
    <n v="0"/>
    <s v="Unique Order ID"/>
  </r>
  <r>
    <s v="ORD10089"/>
    <x v="48"/>
    <x v="2"/>
    <x v="2"/>
    <x v="0"/>
    <x v="0"/>
    <x v="19"/>
    <n v="9"/>
    <n v="36927"/>
    <n v="0"/>
    <n v="332343"/>
    <n v="0"/>
    <s v="Unique Order ID"/>
  </r>
  <r>
    <s v="ORD10090"/>
    <x v="60"/>
    <x v="19"/>
    <x v="0"/>
    <x v="3"/>
    <x v="2"/>
    <x v="15"/>
    <n v="10"/>
    <n v="3745"/>
    <n v="5"/>
    <n v="35577.5"/>
    <n v="1872.5"/>
    <s v="Unique Order ID"/>
  </r>
  <r>
    <s v="ORD10091"/>
    <x v="22"/>
    <x v="12"/>
    <x v="3"/>
    <x v="4"/>
    <x v="1"/>
    <x v="6"/>
    <n v="5"/>
    <n v="41494"/>
    <n v="0"/>
    <n v="207470"/>
    <n v="0"/>
    <s v="Unique Order ID"/>
  </r>
  <r>
    <s v="ORD10092"/>
    <x v="18"/>
    <x v="7"/>
    <x v="3"/>
    <x v="0"/>
    <x v="0"/>
    <x v="14"/>
    <n v="10"/>
    <n v="55543"/>
    <n v="10"/>
    <n v="499887"/>
    <n v="55543"/>
    <s v="Unique Order ID"/>
  </r>
  <r>
    <s v="ORD10093"/>
    <x v="61"/>
    <x v="11"/>
    <x v="3"/>
    <x v="2"/>
    <x v="1"/>
    <x v="23"/>
    <n v="3"/>
    <n v="32773"/>
    <n v="0"/>
    <n v="98319"/>
    <n v="0"/>
    <s v="Unique Order ID"/>
  </r>
  <r>
    <s v="ORD10094"/>
    <x v="62"/>
    <x v="18"/>
    <x v="1"/>
    <x v="0"/>
    <x v="0"/>
    <x v="18"/>
    <n v="9"/>
    <n v="680"/>
    <n v="0"/>
    <n v="6120"/>
    <n v="0"/>
    <s v="Unique Order ID"/>
  </r>
  <r>
    <s v="ORD10095"/>
    <x v="63"/>
    <x v="8"/>
    <x v="1"/>
    <x v="3"/>
    <x v="2"/>
    <x v="10"/>
    <n v="12"/>
    <n v="55652"/>
    <n v="5"/>
    <n v="634432.80000000005"/>
    <n v="33391.200000000004"/>
    <s v="Unique Order ID"/>
  </r>
  <r>
    <s v="ORD10096"/>
    <x v="64"/>
    <x v="11"/>
    <x v="1"/>
    <x v="0"/>
    <x v="0"/>
    <x v="17"/>
    <n v="5"/>
    <n v="22851"/>
    <n v="5"/>
    <n v="108542.25"/>
    <n v="5712.75"/>
    <s v="Unique Order ID"/>
  </r>
  <r>
    <s v="ORD10097"/>
    <x v="32"/>
    <x v="4"/>
    <x v="3"/>
    <x v="0"/>
    <x v="1"/>
    <x v="22"/>
    <n v="10"/>
    <n v="26525"/>
    <n v="20"/>
    <n v="212200"/>
    <n v="53050"/>
    <s v="Unique Order ID"/>
  </r>
  <r>
    <s v="ORD10098"/>
    <x v="16"/>
    <x v="9"/>
    <x v="1"/>
    <x v="3"/>
    <x v="1"/>
    <x v="22"/>
    <n v="8"/>
    <n v="43083"/>
    <n v="10"/>
    <n v="310197.59999999998"/>
    <n v="34466.400000000001"/>
    <s v="Unique Order ID"/>
  </r>
  <r>
    <s v="ORD10099"/>
    <x v="37"/>
    <x v="19"/>
    <x v="3"/>
    <x v="2"/>
    <x v="1"/>
    <x v="22"/>
    <n v="5"/>
    <n v="38705"/>
    <n v="10"/>
    <n v="174172.5"/>
    <n v="19352.5"/>
    <s v="Unique Order ID"/>
  </r>
  <r>
    <s v="ORD10100"/>
    <x v="17"/>
    <x v="3"/>
    <x v="1"/>
    <x v="4"/>
    <x v="2"/>
    <x v="13"/>
    <n v="5"/>
    <n v="28022"/>
    <n v="20"/>
    <n v="112088"/>
    <n v="28022"/>
    <s v="Unique Order ID"/>
  </r>
  <r>
    <s v="ORD10101"/>
    <x v="15"/>
    <x v="6"/>
    <x v="3"/>
    <x v="2"/>
    <x v="2"/>
    <x v="2"/>
    <n v="12"/>
    <n v="48606"/>
    <n v="10"/>
    <n v="524944.80000000005"/>
    <n v="58327.200000000004"/>
    <s v="Unique Order ID"/>
  </r>
  <r>
    <s v="ORD10102"/>
    <x v="36"/>
    <x v="12"/>
    <x v="2"/>
    <x v="4"/>
    <x v="0"/>
    <x v="17"/>
    <n v="3"/>
    <n v="48788"/>
    <n v="5"/>
    <n v="139045.79999999999"/>
    <n v="7318.2000000000007"/>
    <s v="Unique Order ID"/>
  </r>
  <r>
    <s v="ORD10103"/>
    <x v="36"/>
    <x v="4"/>
    <x v="0"/>
    <x v="0"/>
    <x v="1"/>
    <x v="20"/>
    <n v="1"/>
    <n v="4591"/>
    <n v="10"/>
    <n v="4131.8999999999996"/>
    <n v="459.1"/>
    <s v="Unique Order ID"/>
  </r>
  <r>
    <s v="ORD10104"/>
    <x v="54"/>
    <x v="6"/>
    <x v="3"/>
    <x v="0"/>
    <x v="1"/>
    <x v="6"/>
    <n v="1"/>
    <n v="4681"/>
    <n v="0"/>
    <n v="4681"/>
    <n v="0"/>
    <s v="Unique Order ID"/>
  </r>
  <r>
    <s v="ORD10105"/>
    <x v="5"/>
    <x v="14"/>
    <x v="3"/>
    <x v="2"/>
    <x v="1"/>
    <x v="5"/>
    <n v="4"/>
    <n v="30373"/>
    <n v="10"/>
    <n v="109342.8"/>
    <n v="12149.2"/>
    <s v="Unique Order ID"/>
  </r>
  <r>
    <s v="ORD10106"/>
    <x v="20"/>
    <x v="0"/>
    <x v="2"/>
    <x v="2"/>
    <x v="1"/>
    <x v="7"/>
    <n v="14"/>
    <n v="29465"/>
    <n v="10"/>
    <n v="371259"/>
    <n v="41251"/>
    <s v="Unique Order ID"/>
  </r>
  <r>
    <s v="ORD10107"/>
    <x v="61"/>
    <x v="1"/>
    <x v="1"/>
    <x v="3"/>
    <x v="1"/>
    <x v="22"/>
    <n v="6"/>
    <n v="55600"/>
    <n v="0"/>
    <n v="333600"/>
    <n v="0"/>
    <s v="Unique Order ID"/>
  </r>
  <r>
    <s v="ORD10108"/>
    <x v="43"/>
    <x v="5"/>
    <x v="0"/>
    <x v="1"/>
    <x v="0"/>
    <x v="17"/>
    <n v="8"/>
    <n v="28357"/>
    <n v="5"/>
    <n v="215513.2"/>
    <n v="11342.800000000001"/>
    <s v="Unique Order ID"/>
  </r>
  <r>
    <s v="ORD10109"/>
    <x v="27"/>
    <x v="15"/>
    <x v="2"/>
    <x v="3"/>
    <x v="1"/>
    <x v="23"/>
    <n v="4"/>
    <n v="20955"/>
    <n v="10"/>
    <n v="75438"/>
    <n v="8382"/>
    <s v="Unique Order ID"/>
  </r>
  <r>
    <s v="ORD10110"/>
    <x v="40"/>
    <x v="2"/>
    <x v="0"/>
    <x v="3"/>
    <x v="1"/>
    <x v="20"/>
    <n v="11"/>
    <n v="57933"/>
    <n v="0"/>
    <n v="637263"/>
    <n v="0"/>
    <s v="Unique Order ID"/>
  </r>
  <r>
    <s v="ORD10111"/>
    <x v="16"/>
    <x v="11"/>
    <x v="3"/>
    <x v="2"/>
    <x v="1"/>
    <x v="1"/>
    <n v="12"/>
    <n v="24406"/>
    <n v="0"/>
    <n v="292872"/>
    <n v="0"/>
    <s v="Unique Order ID"/>
  </r>
  <r>
    <s v="ORD10112"/>
    <x v="46"/>
    <x v="19"/>
    <x v="0"/>
    <x v="3"/>
    <x v="2"/>
    <x v="13"/>
    <n v="1"/>
    <n v="15171"/>
    <n v="0"/>
    <n v="15171"/>
    <n v="0"/>
    <s v="Unique Order ID"/>
  </r>
  <r>
    <s v="ORD10113"/>
    <x v="23"/>
    <x v="8"/>
    <x v="1"/>
    <x v="4"/>
    <x v="2"/>
    <x v="2"/>
    <n v="7"/>
    <n v="50572.450000000004"/>
    <n v="15"/>
    <n v="354007.15"/>
    <n v="53101.072500000002"/>
    <s v="Unique Order ID"/>
  </r>
  <r>
    <s v="ORD10114"/>
    <x v="47"/>
    <x v="6"/>
    <x v="2"/>
    <x v="3"/>
    <x v="1"/>
    <x v="11"/>
    <n v="15"/>
    <n v="27785"/>
    <n v="0"/>
    <n v="416775"/>
    <n v="0"/>
    <s v="Unique Order ID"/>
  </r>
  <r>
    <s v="ORD10115"/>
    <x v="40"/>
    <x v="2"/>
    <x v="2"/>
    <x v="3"/>
    <x v="2"/>
    <x v="9"/>
    <n v="10"/>
    <n v="56337"/>
    <n v="10"/>
    <n v="507033"/>
    <n v="56337"/>
    <s v="Unique Order ID"/>
  </r>
  <r>
    <s v="ORD10116"/>
    <x v="65"/>
    <x v="11"/>
    <x v="1"/>
    <x v="3"/>
    <x v="0"/>
    <x v="0"/>
    <n v="15"/>
    <n v="18771"/>
    <n v="10"/>
    <n v="253408.5"/>
    <n v="28156.5"/>
    <s v="Unique Order ID"/>
  </r>
  <r>
    <s v="ORD10117"/>
    <x v="66"/>
    <x v="5"/>
    <x v="2"/>
    <x v="3"/>
    <x v="1"/>
    <x v="5"/>
    <n v="15"/>
    <n v="15751"/>
    <n v="15"/>
    <n v="200825.25"/>
    <n v="35439.75"/>
    <s v="Unique Order ID"/>
  </r>
  <r>
    <s v="ORD10118"/>
    <x v="39"/>
    <x v="6"/>
    <x v="3"/>
    <x v="3"/>
    <x v="1"/>
    <x v="6"/>
    <n v="5"/>
    <n v="29965"/>
    <n v="10"/>
    <n v="134842.5"/>
    <n v="14982.5"/>
    <s v="Unique Order ID"/>
  </r>
  <r>
    <s v="ORD10119"/>
    <x v="19"/>
    <x v="8"/>
    <x v="1"/>
    <x v="4"/>
    <x v="1"/>
    <x v="7"/>
    <n v="4"/>
    <n v="31391"/>
    <n v="20"/>
    <n v="100451.2"/>
    <n v="25112.800000000003"/>
    <s v="Duplicate Order ID"/>
  </r>
  <r>
    <s v="ORD10119"/>
    <x v="35"/>
    <x v="17"/>
    <x v="2"/>
    <x v="1"/>
    <x v="2"/>
    <x v="2"/>
    <n v="4"/>
    <n v="48745"/>
    <n v="0"/>
    <n v="194980"/>
    <n v="0"/>
    <s v="Duplicate Order ID"/>
  </r>
  <r>
    <s v="ORD10121"/>
    <x v="59"/>
    <x v="6"/>
    <x v="3"/>
    <x v="1"/>
    <x v="0"/>
    <x v="8"/>
    <n v="11"/>
    <n v="40038"/>
    <n v="0"/>
    <n v="440418"/>
    <n v="0"/>
    <s v="Unique Order ID"/>
  </r>
  <r>
    <s v="ORD10122"/>
    <x v="67"/>
    <x v="19"/>
    <x v="2"/>
    <x v="4"/>
    <x v="0"/>
    <x v="12"/>
    <n v="12"/>
    <n v="25705"/>
    <n v="0"/>
    <n v="308460"/>
    <n v="0"/>
    <s v="Unique Order ID"/>
  </r>
  <r>
    <s v="ORD10123"/>
    <x v="45"/>
    <x v="15"/>
    <x v="3"/>
    <x v="1"/>
    <x v="1"/>
    <x v="16"/>
    <n v="1"/>
    <n v="19212"/>
    <n v="0"/>
    <n v="19212"/>
    <n v="0"/>
    <s v="Unique Order ID"/>
  </r>
  <r>
    <s v="ORD10124"/>
    <x v="23"/>
    <x v="17"/>
    <x v="1"/>
    <x v="1"/>
    <x v="0"/>
    <x v="21"/>
    <n v="2"/>
    <n v="54777"/>
    <n v="5"/>
    <n v="104076.3"/>
    <n v="5477.7000000000007"/>
    <s v="Unique Order ID"/>
  </r>
  <r>
    <s v="ORD10125"/>
    <x v="68"/>
    <x v="16"/>
    <x v="0"/>
    <x v="2"/>
    <x v="0"/>
    <x v="0"/>
    <n v="4"/>
    <n v="30210"/>
    <n v="5"/>
    <n v="114798"/>
    <n v="6042"/>
    <s v="Unique Order ID"/>
  </r>
  <r>
    <s v="ORD10126"/>
    <x v="69"/>
    <x v="13"/>
    <x v="3"/>
    <x v="0"/>
    <x v="0"/>
    <x v="12"/>
    <n v="2"/>
    <n v="5319"/>
    <n v="0"/>
    <n v="10638"/>
    <n v="0"/>
    <s v="Unique Order ID"/>
  </r>
  <r>
    <s v="ORD10127"/>
    <x v="0"/>
    <x v="1"/>
    <x v="3"/>
    <x v="0"/>
    <x v="1"/>
    <x v="11"/>
    <n v="9"/>
    <n v="49330"/>
    <n v="5"/>
    <n v="421771.5"/>
    <n v="22198.5"/>
    <s v="Unique Order ID"/>
  </r>
  <r>
    <s v="ORD10128"/>
    <x v="44"/>
    <x v="2"/>
    <x v="2"/>
    <x v="3"/>
    <x v="1"/>
    <x v="16"/>
    <n v="4"/>
    <n v="4747"/>
    <n v="10"/>
    <n v="17089.2"/>
    <n v="1898.8000000000002"/>
    <s v="Unique Order ID"/>
  </r>
  <r>
    <s v="ORD10129"/>
    <x v="70"/>
    <x v="14"/>
    <x v="1"/>
    <x v="0"/>
    <x v="1"/>
    <x v="22"/>
    <n v="5"/>
    <n v="48608.65"/>
    <n v="5"/>
    <n v="243043.25"/>
    <n v="12152.1625"/>
    <s v="Unique Order ID"/>
  </r>
  <r>
    <s v="ORD10130"/>
    <x v="71"/>
    <x v="0"/>
    <x v="2"/>
    <x v="2"/>
    <x v="2"/>
    <x v="10"/>
    <n v="15"/>
    <n v="28680"/>
    <n v="15"/>
    <n v="365670"/>
    <n v="64530"/>
    <s v="Unique Order ID"/>
  </r>
  <r>
    <s v="ORD10131"/>
    <x v="43"/>
    <x v="15"/>
    <x v="2"/>
    <x v="3"/>
    <x v="2"/>
    <x v="9"/>
    <n v="10"/>
    <n v="33536"/>
    <n v="0"/>
    <n v="335360"/>
    <n v="0"/>
    <s v="Unique Order ID"/>
  </r>
  <r>
    <s v="ORD10132"/>
    <x v="23"/>
    <x v="15"/>
    <x v="3"/>
    <x v="4"/>
    <x v="1"/>
    <x v="11"/>
    <n v="15"/>
    <n v="2020"/>
    <n v="0"/>
    <n v="30300"/>
    <n v="0"/>
    <s v="Unique Order ID"/>
  </r>
  <r>
    <s v="ORD10133"/>
    <x v="72"/>
    <x v="1"/>
    <x v="0"/>
    <x v="3"/>
    <x v="0"/>
    <x v="8"/>
    <n v="3"/>
    <n v="20866"/>
    <n v="0"/>
    <n v="62598"/>
    <n v="0"/>
    <s v="Unique Order ID"/>
  </r>
  <r>
    <s v="ORD10134"/>
    <x v="73"/>
    <x v="19"/>
    <x v="1"/>
    <x v="1"/>
    <x v="0"/>
    <x v="0"/>
    <n v="15"/>
    <n v="7951"/>
    <n v="0"/>
    <n v="95412"/>
    <n v="0"/>
    <s v="Unique Order ID"/>
  </r>
  <r>
    <s v="ORD10135"/>
    <x v="57"/>
    <x v="11"/>
    <x v="1"/>
    <x v="0"/>
    <x v="0"/>
    <x v="0"/>
    <n v="15"/>
    <n v="37975"/>
    <n v="0"/>
    <n v="569625"/>
    <n v="0"/>
    <s v="Unique Order ID"/>
  </r>
  <r>
    <s v="ORD10136"/>
    <x v="66"/>
    <x v="11"/>
    <x v="1"/>
    <x v="4"/>
    <x v="2"/>
    <x v="10"/>
    <n v="1"/>
    <n v="19103"/>
    <n v="0"/>
    <n v="19103"/>
    <n v="0"/>
    <s v="Unique Order ID"/>
  </r>
  <r>
    <s v="ORD10137"/>
    <x v="2"/>
    <x v="8"/>
    <x v="0"/>
    <x v="1"/>
    <x v="2"/>
    <x v="13"/>
    <n v="15"/>
    <n v="59926"/>
    <n v="20"/>
    <n v="719112"/>
    <n v="179778"/>
    <s v="Unique Order ID"/>
  </r>
  <r>
    <s v="ORD10138"/>
    <x v="33"/>
    <x v="10"/>
    <x v="2"/>
    <x v="0"/>
    <x v="0"/>
    <x v="10"/>
    <n v="15"/>
    <n v="39108"/>
    <n v="0"/>
    <n v="586620"/>
    <n v="0"/>
    <s v="Unique Order ID"/>
  </r>
  <r>
    <s v="ORD10139"/>
    <x v="31"/>
    <x v="2"/>
    <x v="0"/>
    <x v="2"/>
    <x v="2"/>
    <x v="15"/>
    <n v="2"/>
    <n v="19428"/>
    <n v="15"/>
    <n v="33027.599999999999"/>
    <n v="5828.4"/>
    <s v="Unique Order ID"/>
  </r>
  <r>
    <s v="ORD10140"/>
    <x v="12"/>
    <x v="18"/>
    <x v="2"/>
    <x v="3"/>
    <x v="1"/>
    <x v="7"/>
    <n v="15"/>
    <n v="44374"/>
    <n v="20"/>
    <n v="532488"/>
    <n v="133122"/>
    <s v="Unique Order ID"/>
  </r>
  <r>
    <s v="ORD10141"/>
    <x v="8"/>
    <x v="1"/>
    <x v="1"/>
    <x v="0"/>
    <x v="1"/>
    <x v="1"/>
    <n v="11"/>
    <n v="5309"/>
    <n v="0"/>
    <n v="58399"/>
    <n v="0"/>
    <s v="Unique Order ID"/>
  </r>
  <r>
    <s v="ORD10142"/>
    <x v="31"/>
    <x v="2"/>
    <x v="0"/>
    <x v="1"/>
    <x v="2"/>
    <x v="11"/>
    <n v="1"/>
    <n v="44911"/>
    <n v="10"/>
    <n v="40419.9"/>
    <n v="4491.1000000000004"/>
    <s v="Unique Order ID"/>
  </r>
  <r>
    <s v="ORD10143"/>
    <x v="27"/>
    <x v="9"/>
    <x v="0"/>
    <x v="2"/>
    <x v="2"/>
    <x v="3"/>
    <n v="5"/>
    <n v="46882"/>
    <n v="0"/>
    <n v="234410"/>
    <n v="0"/>
    <s v="Unique Order ID"/>
  </r>
  <r>
    <s v="ORD10144"/>
    <x v="24"/>
    <x v="7"/>
    <x v="1"/>
    <x v="4"/>
    <x v="1"/>
    <x v="6"/>
    <n v="4"/>
    <n v="40648"/>
    <n v="0"/>
    <n v="162592"/>
    <n v="0"/>
    <s v="Unique Order ID"/>
  </r>
  <r>
    <s v="ORD10145"/>
    <x v="41"/>
    <x v="10"/>
    <x v="3"/>
    <x v="4"/>
    <x v="1"/>
    <x v="23"/>
    <n v="14"/>
    <n v="59584"/>
    <n v="5"/>
    <n v="792467.2"/>
    <n v="41708.800000000003"/>
    <s v="Unique Order ID"/>
  </r>
  <r>
    <s v="ORD10146"/>
    <x v="62"/>
    <x v="14"/>
    <x v="0"/>
    <x v="4"/>
    <x v="1"/>
    <x v="4"/>
    <n v="11"/>
    <n v="33010"/>
    <n v="10"/>
    <n v="326799"/>
    <n v="36311"/>
    <s v="Unique Order ID"/>
  </r>
  <r>
    <s v="ORD10147"/>
    <x v="63"/>
    <x v="16"/>
    <x v="0"/>
    <x v="4"/>
    <x v="2"/>
    <x v="15"/>
    <n v="3"/>
    <n v="44226"/>
    <n v="10"/>
    <n v="119410.2"/>
    <n v="13267.800000000001"/>
    <s v="Unique Order ID"/>
  </r>
  <r>
    <s v="ORD10148"/>
    <x v="48"/>
    <x v="7"/>
    <x v="2"/>
    <x v="4"/>
    <x v="0"/>
    <x v="19"/>
    <n v="2"/>
    <n v="47217"/>
    <n v="10"/>
    <n v="84990.6"/>
    <n v="9443.4"/>
    <s v="Unique Order ID"/>
  </r>
  <r>
    <s v="ORD10149"/>
    <x v="38"/>
    <x v="12"/>
    <x v="1"/>
    <x v="2"/>
    <x v="1"/>
    <x v="1"/>
    <n v="3"/>
    <n v="22504"/>
    <n v="20"/>
    <n v="54009.599999999999"/>
    <n v="13502.400000000001"/>
    <s v="Unique Order ID"/>
  </r>
  <r>
    <s v="ORD10150"/>
    <x v="51"/>
    <x v="17"/>
    <x v="1"/>
    <x v="1"/>
    <x v="2"/>
    <x v="2"/>
    <n v="10"/>
    <n v="42975"/>
    <n v="0"/>
    <n v="429750"/>
    <n v="0"/>
    <s v="Unique Order ID"/>
  </r>
  <r>
    <s v="ORD10151"/>
    <x v="31"/>
    <x v="11"/>
    <x v="1"/>
    <x v="4"/>
    <x v="1"/>
    <x v="1"/>
    <n v="9"/>
    <n v="17794"/>
    <n v="0"/>
    <n v="160146"/>
    <n v="0"/>
    <s v="Unique Order ID"/>
  </r>
  <r>
    <s v="ORD10152"/>
    <x v="68"/>
    <x v="18"/>
    <x v="0"/>
    <x v="3"/>
    <x v="1"/>
    <x v="23"/>
    <n v="14"/>
    <n v="56286"/>
    <n v="15"/>
    <n v="669803.4"/>
    <n v="118200.59999999999"/>
    <s v="Unique Order ID"/>
  </r>
  <r>
    <s v="ORD10153"/>
    <x v="55"/>
    <x v="9"/>
    <x v="3"/>
    <x v="2"/>
    <x v="1"/>
    <x v="22"/>
    <n v="5"/>
    <n v="55062"/>
    <n v="20"/>
    <n v="220248"/>
    <n v="55062"/>
    <s v="Unique Order ID"/>
  </r>
  <r>
    <s v="ORD10154"/>
    <x v="74"/>
    <x v="8"/>
    <x v="1"/>
    <x v="2"/>
    <x v="0"/>
    <x v="19"/>
    <n v="5"/>
    <n v="40183.199999999997"/>
    <n v="10"/>
    <n v="200916"/>
    <n v="20091.600000000002"/>
    <s v="Unique Order ID"/>
  </r>
  <r>
    <s v="ORD10155"/>
    <x v="5"/>
    <x v="17"/>
    <x v="0"/>
    <x v="1"/>
    <x v="0"/>
    <x v="17"/>
    <n v="6"/>
    <n v="22035"/>
    <n v="5"/>
    <n v="125599.5"/>
    <n v="6610.5"/>
    <s v="Unique Order ID"/>
  </r>
  <r>
    <s v="ORD10156"/>
    <x v="53"/>
    <x v="11"/>
    <x v="3"/>
    <x v="1"/>
    <x v="1"/>
    <x v="5"/>
    <n v="9"/>
    <n v="41985"/>
    <n v="0"/>
    <n v="377865"/>
    <n v="0"/>
    <s v="Unique Order ID"/>
  </r>
  <r>
    <s v="ORD10157"/>
    <x v="75"/>
    <x v="17"/>
    <x v="2"/>
    <x v="4"/>
    <x v="1"/>
    <x v="7"/>
    <n v="12"/>
    <n v="22949"/>
    <n v="5"/>
    <n v="261618.6"/>
    <n v="13769.400000000001"/>
    <s v="Unique Order ID"/>
  </r>
  <r>
    <s v="ORD10158"/>
    <x v="20"/>
    <x v="5"/>
    <x v="2"/>
    <x v="4"/>
    <x v="0"/>
    <x v="19"/>
    <n v="15"/>
    <n v="55162"/>
    <n v="15"/>
    <n v="703315.5"/>
    <n v="124114.5"/>
    <s v="Unique Order ID"/>
  </r>
  <r>
    <s v="ORD10159"/>
    <x v="76"/>
    <x v="1"/>
    <x v="2"/>
    <x v="1"/>
    <x v="0"/>
    <x v="21"/>
    <n v="8"/>
    <n v="29534"/>
    <n v="5"/>
    <n v="224458.4"/>
    <n v="11813.6"/>
    <s v="Unique Order ID"/>
  </r>
  <r>
    <s v="ORD10160"/>
    <x v="48"/>
    <x v="5"/>
    <x v="2"/>
    <x v="1"/>
    <x v="0"/>
    <x v="12"/>
    <n v="8"/>
    <n v="17544"/>
    <n v="20"/>
    <n v="112281.60000000001"/>
    <n v="28070.400000000001"/>
    <s v="Unique Order ID"/>
  </r>
  <r>
    <s v="ORD10161"/>
    <x v="42"/>
    <x v="8"/>
    <x v="0"/>
    <x v="3"/>
    <x v="2"/>
    <x v="15"/>
    <n v="10"/>
    <n v="48946"/>
    <n v="0"/>
    <n v="489460"/>
    <n v="0"/>
    <s v="Unique Order ID"/>
  </r>
  <r>
    <s v="ORD10162"/>
    <x v="66"/>
    <x v="1"/>
    <x v="1"/>
    <x v="1"/>
    <x v="1"/>
    <x v="20"/>
    <n v="12"/>
    <n v="9646"/>
    <n v="20"/>
    <n v="92601.600000000006"/>
    <n v="23150.400000000001"/>
    <s v="Unique Order ID"/>
  </r>
  <r>
    <s v="ORD10163"/>
    <x v="67"/>
    <x v="6"/>
    <x v="1"/>
    <x v="2"/>
    <x v="1"/>
    <x v="11"/>
    <n v="13"/>
    <n v="9374"/>
    <n v="10"/>
    <n v="109675.8"/>
    <n v="12186.2"/>
    <s v="Unique Order ID"/>
  </r>
  <r>
    <s v="ORD10164"/>
    <x v="77"/>
    <x v="19"/>
    <x v="0"/>
    <x v="3"/>
    <x v="0"/>
    <x v="17"/>
    <n v="2"/>
    <n v="29906"/>
    <n v="0"/>
    <n v="59812"/>
    <n v="0"/>
    <s v="Unique Order ID"/>
  </r>
  <r>
    <s v="ORD10165"/>
    <x v="14"/>
    <x v="15"/>
    <x v="3"/>
    <x v="2"/>
    <x v="2"/>
    <x v="15"/>
    <n v="5"/>
    <n v="40563"/>
    <n v="10"/>
    <n v="182533.5"/>
    <n v="20281.5"/>
    <s v="Unique Order ID"/>
  </r>
  <r>
    <s v="ORD10166"/>
    <x v="20"/>
    <x v="15"/>
    <x v="2"/>
    <x v="3"/>
    <x v="0"/>
    <x v="12"/>
    <n v="3"/>
    <n v="10303"/>
    <n v="10"/>
    <n v="27818.1"/>
    <n v="3090.9"/>
    <s v="Unique Order ID"/>
  </r>
  <r>
    <s v="ORD10167"/>
    <x v="42"/>
    <x v="12"/>
    <x v="3"/>
    <x v="1"/>
    <x v="1"/>
    <x v="11"/>
    <n v="13"/>
    <n v="6037"/>
    <n v="5"/>
    <n v="74556.95"/>
    <n v="3924.05"/>
    <s v="Unique Order ID"/>
  </r>
  <r>
    <s v="ORD10168"/>
    <x v="61"/>
    <x v="5"/>
    <x v="1"/>
    <x v="1"/>
    <x v="0"/>
    <x v="0"/>
    <n v="7"/>
    <n v="11168"/>
    <n v="0"/>
    <n v="78176"/>
    <n v="0"/>
    <s v="Unique Order ID"/>
  </r>
  <r>
    <s v="ORD10169"/>
    <x v="39"/>
    <x v="19"/>
    <x v="1"/>
    <x v="2"/>
    <x v="2"/>
    <x v="13"/>
    <n v="12"/>
    <n v="21253"/>
    <n v="20"/>
    <n v="204028.79999999999"/>
    <n v="51007.200000000004"/>
    <s v="Unique Order ID"/>
  </r>
  <r>
    <s v="ORD10170"/>
    <x v="73"/>
    <x v="12"/>
    <x v="3"/>
    <x v="0"/>
    <x v="0"/>
    <x v="18"/>
    <n v="2"/>
    <n v="6347"/>
    <n v="5"/>
    <n v="12059.3"/>
    <n v="634.70000000000005"/>
    <s v="Unique Order ID"/>
  </r>
  <r>
    <s v="ORD10171"/>
    <x v="5"/>
    <x v="2"/>
    <x v="2"/>
    <x v="3"/>
    <x v="2"/>
    <x v="3"/>
    <n v="7"/>
    <n v="6561"/>
    <n v="0"/>
    <n v="45927"/>
    <n v="0"/>
    <s v="Unique Order ID"/>
  </r>
  <r>
    <s v="ORD10172"/>
    <x v="28"/>
    <x v="4"/>
    <x v="3"/>
    <x v="1"/>
    <x v="0"/>
    <x v="18"/>
    <n v="15"/>
    <n v="26947"/>
    <n v="10"/>
    <n v="363784.5"/>
    <n v="40420.5"/>
    <s v="Unique Order ID"/>
  </r>
  <r>
    <s v="ORD10173"/>
    <x v="73"/>
    <x v="6"/>
    <x v="1"/>
    <x v="1"/>
    <x v="2"/>
    <x v="15"/>
    <n v="14"/>
    <n v="2825"/>
    <n v="0"/>
    <n v="39550"/>
    <n v="0"/>
    <s v="Unique Order ID"/>
  </r>
  <r>
    <s v="ORD10174"/>
    <x v="78"/>
    <x v="0"/>
    <x v="0"/>
    <x v="0"/>
    <x v="1"/>
    <x v="20"/>
    <n v="9"/>
    <n v="59878"/>
    <n v="15"/>
    <n v="458066.7"/>
    <n v="80835.3"/>
    <s v="Unique Order ID"/>
  </r>
  <r>
    <s v="ORD10175"/>
    <x v="31"/>
    <x v="13"/>
    <x v="1"/>
    <x v="1"/>
    <x v="0"/>
    <x v="14"/>
    <n v="2"/>
    <n v="35256"/>
    <n v="0"/>
    <n v="70512"/>
    <n v="0"/>
    <s v="Unique Order ID"/>
  </r>
  <r>
    <s v="ORD10176"/>
    <x v="68"/>
    <x v="13"/>
    <x v="3"/>
    <x v="4"/>
    <x v="2"/>
    <x v="3"/>
    <n v="2"/>
    <n v="26076"/>
    <n v="10"/>
    <n v="46936.800000000003"/>
    <n v="5215.2000000000007"/>
    <s v="Unique Order ID"/>
  </r>
  <r>
    <s v="ORD10177"/>
    <x v="49"/>
    <x v="6"/>
    <x v="2"/>
    <x v="2"/>
    <x v="1"/>
    <x v="20"/>
    <n v="1"/>
    <n v="24533"/>
    <n v="10"/>
    <n v="22079.7"/>
    <n v="2453.3000000000002"/>
    <s v="Unique Order ID"/>
  </r>
  <r>
    <s v="ORD10178"/>
    <x v="2"/>
    <x v="3"/>
    <x v="3"/>
    <x v="4"/>
    <x v="0"/>
    <x v="18"/>
    <n v="6"/>
    <n v="36232"/>
    <n v="0"/>
    <n v="217392"/>
    <n v="0"/>
    <s v="Unique Order ID"/>
  </r>
  <r>
    <s v="ORD10179"/>
    <x v="79"/>
    <x v="9"/>
    <x v="0"/>
    <x v="4"/>
    <x v="2"/>
    <x v="13"/>
    <n v="8"/>
    <n v="32211"/>
    <n v="5"/>
    <n v="244803.6"/>
    <n v="12884.400000000001"/>
    <s v="Duplicate Order ID"/>
  </r>
  <r>
    <s v="ORD10179"/>
    <x v="79"/>
    <x v="6"/>
    <x v="0"/>
    <x v="0"/>
    <x v="0"/>
    <x v="14"/>
    <n v="15"/>
    <n v="22253"/>
    <n v="0"/>
    <n v="333795"/>
    <n v="0"/>
    <s v="Duplicate Order ID"/>
  </r>
  <r>
    <s v="ORD10181"/>
    <x v="47"/>
    <x v="12"/>
    <x v="0"/>
    <x v="1"/>
    <x v="1"/>
    <x v="16"/>
    <n v="14"/>
    <n v="27323"/>
    <n v="20"/>
    <n v="306017.59999999998"/>
    <n v="76504.400000000009"/>
    <s v="Unique Order ID"/>
  </r>
  <r>
    <s v="ORD10182"/>
    <x v="11"/>
    <x v="3"/>
    <x v="2"/>
    <x v="1"/>
    <x v="1"/>
    <x v="5"/>
    <n v="3"/>
    <n v="47828"/>
    <n v="5"/>
    <n v="136309.79999999999"/>
    <n v="7174.2000000000007"/>
    <s v="Unique Order ID"/>
  </r>
  <r>
    <s v="ORD10183"/>
    <x v="80"/>
    <x v="3"/>
    <x v="1"/>
    <x v="1"/>
    <x v="1"/>
    <x v="16"/>
    <n v="14"/>
    <n v="23322"/>
    <n v="15"/>
    <n v="277531.8"/>
    <n v="48976.2"/>
    <s v="Unique Order ID"/>
  </r>
  <r>
    <s v="ORD10184"/>
    <x v="81"/>
    <x v="5"/>
    <x v="1"/>
    <x v="0"/>
    <x v="1"/>
    <x v="7"/>
    <n v="8"/>
    <n v="53428"/>
    <n v="0"/>
    <n v="363310.4"/>
    <n v="0"/>
    <s v="Unique Order ID"/>
  </r>
  <r>
    <s v="ORD10185"/>
    <x v="48"/>
    <x v="6"/>
    <x v="3"/>
    <x v="1"/>
    <x v="1"/>
    <x v="20"/>
    <n v="11"/>
    <n v="25394"/>
    <n v="5"/>
    <n v="265367.3"/>
    <n v="13966.7"/>
    <s v="Unique Order ID"/>
  </r>
  <r>
    <s v="ORD10186"/>
    <x v="3"/>
    <x v="18"/>
    <x v="0"/>
    <x v="0"/>
    <x v="1"/>
    <x v="11"/>
    <n v="6"/>
    <n v="45637"/>
    <n v="10"/>
    <n v="246439.8"/>
    <n v="27382.2"/>
    <s v="Unique Order ID"/>
  </r>
  <r>
    <s v="ORD10187"/>
    <x v="0"/>
    <x v="13"/>
    <x v="0"/>
    <x v="1"/>
    <x v="0"/>
    <x v="20"/>
    <n v="11"/>
    <n v="54220"/>
    <n v="15"/>
    <n v="506957"/>
    <n v="89463"/>
    <s v="Unique Order ID"/>
  </r>
  <r>
    <s v="ORD10188"/>
    <x v="52"/>
    <x v="2"/>
    <x v="3"/>
    <x v="4"/>
    <x v="0"/>
    <x v="14"/>
    <n v="1"/>
    <n v="17664"/>
    <n v="0"/>
    <n v="17664"/>
    <n v="0"/>
    <s v="Unique Order ID"/>
  </r>
  <r>
    <s v="ORD10189"/>
    <x v="79"/>
    <x v="2"/>
    <x v="3"/>
    <x v="4"/>
    <x v="0"/>
    <x v="18"/>
    <n v="14"/>
    <n v="10427"/>
    <n v="5"/>
    <n v="138679.1"/>
    <n v="7298.9000000000005"/>
    <s v="Unique Order ID"/>
  </r>
  <r>
    <s v="ORD10190"/>
    <x v="28"/>
    <x v="0"/>
    <x v="3"/>
    <x v="4"/>
    <x v="2"/>
    <x v="2"/>
    <n v="14"/>
    <n v="4434"/>
    <n v="0"/>
    <n v="62076"/>
    <n v="0"/>
    <s v="Unique Order ID"/>
  </r>
  <r>
    <s v="ORD10191"/>
    <x v="12"/>
    <x v="18"/>
    <x v="2"/>
    <x v="3"/>
    <x v="1"/>
    <x v="7"/>
    <n v="11"/>
    <n v="43706"/>
    <n v="20"/>
    <n v="384612.8"/>
    <n v="96153.200000000012"/>
    <s v="Unique Order ID"/>
  </r>
  <r>
    <s v="ORD10192"/>
    <x v="61"/>
    <x v="5"/>
    <x v="0"/>
    <x v="3"/>
    <x v="0"/>
    <x v="18"/>
    <n v="8"/>
    <n v="884"/>
    <n v="5"/>
    <n v="6718.4"/>
    <n v="353.6"/>
    <s v="Unique Order ID"/>
  </r>
  <r>
    <s v="ORD10193"/>
    <x v="82"/>
    <x v="7"/>
    <x v="3"/>
    <x v="4"/>
    <x v="0"/>
    <x v="14"/>
    <n v="4"/>
    <n v="58399"/>
    <n v="0"/>
    <n v="233596"/>
    <n v="0"/>
    <s v="Unique Order ID"/>
  </r>
  <r>
    <s v="ORD10194"/>
    <x v="26"/>
    <x v="9"/>
    <x v="3"/>
    <x v="0"/>
    <x v="1"/>
    <x v="1"/>
    <n v="8"/>
    <n v="25574"/>
    <n v="10"/>
    <n v="184132.8"/>
    <n v="20459.2"/>
    <s v="Unique Order ID"/>
  </r>
  <r>
    <s v="ORD10195"/>
    <x v="58"/>
    <x v="17"/>
    <x v="1"/>
    <x v="3"/>
    <x v="1"/>
    <x v="20"/>
    <n v="14"/>
    <n v="41628"/>
    <n v="5"/>
    <n v="553652.4"/>
    <n v="29139.600000000002"/>
    <s v="Unique Order ID"/>
  </r>
  <r>
    <s v="ORD10196"/>
    <x v="24"/>
    <x v="1"/>
    <x v="2"/>
    <x v="3"/>
    <x v="1"/>
    <x v="16"/>
    <n v="13"/>
    <n v="47782"/>
    <n v="15"/>
    <n v="527991.1"/>
    <n v="93174.9"/>
    <s v="Unique Order ID"/>
  </r>
  <r>
    <s v="ORD10197"/>
    <x v="57"/>
    <x v="13"/>
    <x v="2"/>
    <x v="0"/>
    <x v="2"/>
    <x v="2"/>
    <n v="5"/>
    <n v="28327"/>
    <n v="0"/>
    <n v="141635"/>
    <n v="0"/>
    <s v="Unique Order ID"/>
  </r>
  <r>
    <s v="ORD10198"/>
    <x v="4"/>
    <x v="17"/>
    <x v="2"/>
    <x v="1"/>
    <x v="0"/>
    <x v="12"/>
    <n v="13"/>
    <n v="44806"/>
    <n v="0"/>
    <n v="582478"/>
    <n v="0"/>
    <s v="Unique Order ID"/>
  </r>
  <r>
    <s v="ORD10199"/>
    <x v="64"/>
    <x v="2"/>
    <x v="2"/>
    <x v="2"/>
    <x v="1"/>
    <x v="22"/>
    <n v="14"/>
    <n v="16075"/>
    <n v="10"/>
    <n v="202545"/>
    <n v="22505"/>
    <s v="Unique Order ID"/>
  </r>
  <r>
    <s v="ORD10200"/>
    <x v="22"/>
    <x v="4"/>
    <x v="3"/>
    <x v="3"/>
    <x v="1"/>
    <x v="5"/>
    <n v="15"/>
    <n v="29988"/>
    <n v="0"/>
    <n v="449820"/>
    <n v="0"/>
    <s v="Unique Order ID"/>
  </r>
  <r>
    <s v="ORD10201"/>
    <x v="39"/>
    <x v="6"/>
    <x v="0"/>
    <x v="0"/>
    <x v="2"/>
    <x v="2"/>
    <n v="6"/>
    <n v="14336"/>
    <n v="5"/>
    <n v="81715.199999999997"/>
    <n v="4300.8"/>
    <s v="Unique Order ID"/>
  </r>
  <r>
    <s v="ORD10202"/>
    <x v="32"/>
    <x v="13"/>
    <x v="2"/>
    <x v="0"/>
    <x v="0"/>
    <x v="14"/>
    <n v="2"/>
    <n v="9943"/>
    <n v="0"/>
    <n v="19886"/>
    <n v="0"/>
    <s v="Unique Order ID"/>
  </r>
  <r>
    <s v="ORD10203"/>
    <x v="21"/>
    <x v="5"/>
    <x v="1"/>
    <x v="3"/>
    <x v="2"/>
    <x v="13"/>
    <n v="15"/>
    <n v="1860"/>
    <n v="5"/>
    <n v="26505"/>
    <n v="1395"/>
    <s v="Unique Order ID"/>
  </r>
  <r>
    <s v="ORD10204"/>
    <x v="57"/>
    <x v="3"/>
    <x v="2"/>
    <x v="2"/>
    <x v="0"/>
    <x v="14"/>
    <n v="13"/>
    <n v="21711"/>
    <n v="5"/>
    <n v="268130.84999999998"/>
    <n v="14112.150000000001"/>
    <s v="Unique Order ID"/>
  </r>
  <r>
    <s v="ORD10205"/>
    <x v="83"/>
    <x v="16"/>
    <x v="0"/>
    <x v="2"/>
    <x v="2"/>
    <x v="10"/>
    <n v="11"/>
    <n v="39984"/>
    <n v="15"/>
    <n v="373850.4"/>
    <n v="65973.599999999991"/>
    <s v="Unique Order ID"/>
  </r>
  <r>
    <s v="ORD10206"/>
    <x v="20"/>
    <x v="16"/>
    <x v="1"/>
    <x v="4"/>
    <x v="2"/>
    <x v="15"/>
    <n v="3"/>
    <n v="24468"/>
    <n v="10"/>
    <n v="66063.600000000006"/>
    <n v="7340.4000000000005"/>
    <s v="Unique Order ID"/>
  </r>
  <r>
    <s v="ORD10207"/>
    <x v="7"/>
    <x v="11"/>
    <x v="0"/>
    <x v="4"/>
    <x v="0"/>
    <x v="0"/>
    <n v="11"/>
    <n v="43021"/>
    <n v="0"/>
    <n v="473231"/>
    <n v="0"/>
    <s v="Unique Order ID"/>
  </r>
  <r>
    <s v="ORD10208"/>
    <x v="20"/>
    <x v="6"/>
    <x v="1"/>
    <x v="4"/>
    <x v="1"/>
    <x v="16"/>
    <n v="6"/>
    <n v="21800"/>
    <n v="0"/>
    <n v="130800"/>
    <n v="0"/>
    <s v="Unique Order ID"/>
  </r>
  <r>
    <s v="ORD10209"/>
    <x v="84"/>
    <x v="6"/>
    <x v="1"/>
    <x v="2"/>
    <x v="0"/>
    <x v="21"/>
    <n v="12"/>
    <n v="39811"/>
    <n v="15"/>
    <n v="406072.2"/>
    <n v="71659.8"/>
    <s v="Unique Order ID"/>
  </r>
  <r>
    <s v="ORD10210"/>
    <x v="29"/>
    <x v="13"/>
    <x v="1"/>
    <x v="3"/>
    <x v="0"/>
    <x v="17"/>
    <n v="13"/>
    <n v="54323"/>
    <n v="0"/>
    <n v="706199"/>
    <n v="0"/>
    <s v="Unique Order ID"/>
  </r>
  <r>
    <s v="ORD10211"/>
    <x v="83"/>
    <x v="3"/>
    <x v="1"/>
    <x v="3"/>
    <x v="0"/>
    <x v="8"/>
    <n v="6"/>
    <n v="59888"/>
    <n v="0"/>
    <n v="359328"/>
    <n v="0"/>
    <s v="Unique Order ID"/>
  </r>
  <r>
    <s v="ORD10212"/>
    <x v="55"/>
    <x v="4"/>
    <x v="1"/>
    <x v="2"/>
    <x v="1"/>
    <x v="7"/>
    <n v="9"/>
    <n v="21491"/>
    <n v="15"/>
    <n v="164406.15"/>
    <n v="29012.85"/>
    <s v="Unique Order ID"/>
  </r>
  <r>
    <s v="ORD10213"/>
    <x v="62"/>
    <x v="12"/>
    <x v="2"/>
    <x v="4"/>
    <x v="0"/>
    <x v="0"/>
    <n v="2"/>
    <n v="25693"/>
    <n v="15"/>
    <n v="43678.1"/>
    <n v="7707.9"/>
    <s v="Unique Order ID"/>
  </r>
  <r>
    <s v="ORD10214"/>
    <x v="58"/>
    <x v="13"/>
    <x v="1"/>
    <x v="4"/>
    <x v="0"/>
    <x v="21"/>
    <n v="8"/>
    <n v="42791"/>
    <n v="0"/>
    <n v="342328"/>
    <n v="0"/>
    <s v="Unique Order ID"/>
  </r>
  <r>
    <s v="ORD10215"/>
    <x v="52"/>
    <x v="3"/>
    <x v="1"/>
    <x v="1"/>
    <x v="2"/>
    <x v="13"/>
    <n v="2"/>
    <n v="38066"/>
    <n v="5"/>
    <n v="72325.399999999994"/>
    <n v="3806.6000000000004"/>
    <s v="Unique Order ID"/>
  </r>
  <r>
    <s v="ORD10216"/>
    <x v="85"/>
    <x v="17"/>
    <x v="2"/>
    <x v="2"/>
    <x v="1"/>
    <x v="5"/>
    <n v="4"/>
    <n v="59362"/>
    <n v="5"/>
    <n v="225575.6"/>
    <n v="11872.400000000001"/>
    <s v="Unique Order ID"/>
  </r>
  <r>
    <s v="ORD10217"/>
    <x v="86"/>
    <x v="12"/>
    <x v="0"/>
    <x v="0"/>
    <x v="0"/>
    <x v="14"/>
    <n v="12"/>
    <n v="4197.3"/>
    <n v="15"/>
    <n v="50367.6"/>
    <n v="7555.14"/>
    <s v="Unique Order ID"/>
  </r>
  <r>
    <s v="ORD10218"/>
    <x v="85"/>
    <x v="11"/>
    <x v="2"/>
    <x v="0"/>
    <x v="0"/>
    <x v="18"/>
    <n v="8"/>
    <n v="8575"/>
    <n v="5"/>
    <n v="65170"/>
    <n v="3430"/>
    <s v="Unique Order ID"/>
  </r>
  <r>
    <s v="ORD10219"/>
    <x v="40"/>
    <x v="17"/>
    <x v="0"/>
    <x v="4"/>
    <x v="1"/>
    <x v="22"/>
    <n v="12"/>
    <n v="59417"/>
    <n v="0"/>
    <n v="713004"/>
    <n v="0"/>
    <s v="Unique Order ID"/>
  </r>
  <r>
    <s v="ORD10220"/>
    <x v="21"/>
    <x v="18"/>
    <x v="0"/>
    <x v="3"/>
    <x v="2"/>
    <x v="2"/>
    <n v="2"/>
    <n v="40291"/>
    <n v="20"/>
    <n v="64465.599999999999"/>
    <n v="16116.400000000001"/>
    <s v="Duplicate Order ID"/>
  </r>
  <r>
    <s v="ORD10220"/>
    <x v="1"/>
    <x v="16"/>
    <x v="2"/>
    <x v="0"/>
    <x v="0"/>
    <x v="19"/>
    <n v="8"/>
    <n v="23388"/>
    <n v="0"/>
    <n v="187104"/>
    <n v="0"/>
    <s v="Duplicate Order ID"/>
  </r>
  <r>
    <s v="ORD10222"/>
    <x v="41"/>
    <x v="11"/>
    <x v="2"/>
    <x v="3"/>
    <x v="1"/>
    <x v="20"/>
    <n v="12"/>
    <n v="31216"/>
    <n v="5"/>
    <n v="355862.4"/>
    <n v="18729.600000000002"/>
    <s v="Unique Order ID"/>
  </r>
  <r>
    <s v="ORD10223"/>
    <x v="12"/>
    <x v="4"/>
    <x v="3"/>
    <x v="2"/>
    <x v="2"/>
    <x v="13"/>
    <n v="7"/>
    <n v="38564"/>
    <n v="20"/>
    <n v="215958.39999999999"/>
    <n v="53989.600000000006"/>
    <s v="Duplicate Order ID"/>
  </r>
  <r>
    <s v="ORD10223"/>
    <x v="87"/>
    <x v="15"/>
    <x v="1"/>
    <x v="0"/>
    <x v="0"/>
    <x v="19"/>
    <n v="6"/>
    <n v="43960"/>
    <n v="0"/>
    <n v="263760"/>
    <n v="0"/>
    <s v="Duplicate Order ID"/>
  </r>
  <r>
    <s v="ORD10225"/>
    <x v="85"/>
    <x v="16"/>
    <x v="1"/>
    <x v="0"/>
    <x v="2"/>
    <x v="13"/>
    <n v="9"/>
    <n v="56949"/>
    <n v="0"/>
    <n v="512541"/>
    <n v="0"/>
    <s v="Unique Order ID"/>
  </r>
  <r>
    <s v="ORD10226"/>
    <x v="4"/>
    <x v="15"/>
    <x v="3"/>
    <x v="2"/>
    <x v="0"/>
    <x v="14"/>
    <n v="9"/>
    <n v="29922"/>
    <n v="0"/>
    <n v="269298"/>
    <n v="0"/>
    <s v="Unique Order ID"/>
  </r>
  <r>
    <s v="ORD10227"/>
    <x v="5"/>
    <x v="0"/>
    <x v="1"/>
    <x v="2"/>
    <x v="0"/>
    <x v="8"/>
    <n v="6"/>
    <n v="21465"/>
    <n v="15"/>
    <n v="109471.5"/>
    <n v="19318.5"/>
    <s v="Unique Order ID"/>
  </r>
  <r>
    <s v="ORD10228"/>
    <x v="58"/>
    <x v="3"/>
    <x v="0"/>
    <x v="4"/>
    <x v="1"/>
    <x v="7"/>
    <n v="9"/>
    <n v="49336"/>
    <n v="20"/>
    <n v="355219.20000000001"/>
    <n v="88804.800000000003"/>
    <s v="Unique Order ID"/>
  </r>
  <r>
    <s v="ORD10229"/>
    <x v="25"/>
    <x v="11"/>
    <x v="3"/>
    <x v="1"/>
    <x v="1"/>
    <x v="22"/>
    <n v="9"/>
    <n v="46831"/>
    <n v="0"/>
    <n v="421479"/>
    <n v="0"/>
    <s v="Unique Order ID"/>
  </r>
  <r>
    <s v="ORD10230"/>
    <x v="77"/>
    <x v="11"/>
    <x v="2"/>
    <x v="3"/>
    <x v="1"/>
    <x v="6"/>
    <n v="4"/>
    <n v="46103"/>
    <n v="0"/>
    <n v="184412"/>
    <n v="0"/>
    <s v="Unique Order ID"/>
  </r>
  <r>
    <s v="ORD10231"/>
    <x v="8"/>
    <x v="12"/>
    <x v="3"/>
    <x v="4"/>
    <x v="2"/>
    <x v="9"/>
    <n v="11"/>
    <n v="5518"/>
    <n v="5"/>
    <n v="57663.1"/>
    <n v="3034.9"/>
    <s v="Unique Order ID"/>
  </r>
  <r>
    <s v="ORD10232"/>
    <x v="14"/>
    <x v="16"/>
    <x v="0"/>
    <x v="2"/>
    <x v="2"/>
    <x v="13"/>
    <n v="5"/>
    <n v="42707"/>
    <n v="15"/>
    <n v="181504.75"/>
    <n v="32030.25"/>
    <s v="Unique Order ID"/>
  </r>
  <r>
    <s v="ORD10233"/>
    <x v="55"/>
    <x v="14"/>
    <x v="3"/>
    <x v="4"/>
    <x v="1"/>
    <x v="20"/>
    <n v="4"/>
    <n v="37470"/>
    <n v="15"/>
    <n v="127398"/>
    <n v="22482"/>
    <s v="Unique Order ID"/>
  </r>
  <r>
    <s v="ORD10234"/>
    <x v="47"/>
    <x v="5"/>
    <x v="1"/>
    <x v="0"/>
    <x v="1"/>
    <x v="5"/>
    <n v="5"/>
    <n v="39369"/>
    <n v="0"/>
    <n v="196845"/>
    <n v="0"/>
    <s v="Unique Order ID"/>
  </r>
  <r>
    <s v="ORD10235"/>
    <x v="39"/>
    <x v="13"/>
    <x v="0"/>
    <x v="1"/>
    <x v="2"/>
    <x v="15"/>
    <n v="11"/>
    <n v="25857"/>
    <n v="0"/>
    <n v="284427"/>
    <n v="0"/>
    <s v="Unique Order ID"/>
  </r>
  <r>
    <s v="ORD10236"/>
    <x v="31"/>
    <x v="18"/>
    <x v="0"/>
    <x v="0"/>
    <x v="1"/>
    <x v="1"/>
    <n v="4"/>
    <n v="4763"/>
    <n v="0"/>
    <n v="19052"/>
    <n v="0"/>
    <s v="Unique Order ID"/>
  </r>
  <r>
    <s v="ORD10237"/>
    <x v="54"/>
    <x v="3"/>
    <x v="1"/>
    <x v="4"/>
    <x v="2"/>
    <x v="13"/>
    <n v="13"/>
    <n v="52809"/>
    <n v="10"/>
    <n v="617865.30000000005"/>
    <n v="68651.7"/>
    <s v="Unique Order ID"/>
  </r>
  <r>
    <s v="ORD10238"/>
    <x v="22"/>
    <x v="17"/>
    <x v="1"/>
    <x v="4"/>
    <x v="1"/>
    <x v="23"/>
    <n v="14"/>
    <n v="52593"/>
    <n v="20"/>
    <n v="589041.6"/>
    <n v="147260.4"/>
    <s v="Unique Order ID"/>
  </r>
  <r>
    <s v="ORD10239"/>
    <x v="3"/>
    <x v="18"/>
    <x v="3"/>
    <x v="2"/>
    <x v="0"/>
    <x v="13"/>
    <n v="15"/>
    <n v="22569"/>
    <n v="10"/>
    <n v="304681.5"/>
    <n v="33853.5"/>
    <s v="Unique Order ID"/>
  </r>
  <r>
    <s v="ORD10240"/>
    <x v="27"/>
    <x v="6"/>
    <x v="0"/>
    <x v="2"/>
    <x v="2"/>
    <x v="10"/>
    <n v="1"/>
    <n v="9281"/>
    <n v="20"/>
    <n v="7424.8"/>
    <n v="1856.2"/>
    <s v="Unique Order ID"/>
  </r>
  <r>
    <s v="ORD10241"/>
    <x v="3"/>
    <x v="7"/>
    <x v="2"/>
    <x v="2"/>
    <x v="1"/>
    <x v="16"/>
    <n v="7"/>
    <n v="49005"/>
    <n v="5"/>
    <n v="325883.25"/>
    <n v="17151.75"/>
    <s v="Unique Order ID"/>
  </r>
  <r>
    <s v="ORD10242"/>
    <x v="67"/>
    <x v="8"/>
    <x v="3"/>
    <x v="2"/>
    <x v="0"/>
    <x v="14"/>
    <n v="12"/>
    <n v="40442"/>
    <n v="0"/>
    <n v="485304"/>
    <n v="0"/>
    <s v="Unique Order ID"/>
  </r>
  <r>
    <s v="ORD10243"/>
    <x v="26"/>
    <x v="12"/>
    <x v="3"/>
    <x v="4"/>
    <x v="1"/>
    <x v="1"/>
    <n v="2"/>
    <n v="41833"/>
    <n v="10"/>
    <n v="75299.399999999994"/>
    <n v="8366.6"/>
    <s v="Unique Order ID"/>
  </r>
  <r>
    <s v="ORD10244"/>
    <x v="76"/>
    <x v="2"/>
    <x v="2"/>
    <x v="3"/>
    <x v="0"/>
    <x v="15"/>
    <n v="7"/>
    <n v="21479"/>
    <n v="0"/>
    <n v="150353"/>
    <n v="0"/>
    <s v="Unique Order ID"/>
  </r>
  <r>
    <s v="ORD10245"/>
    <x v="78"/>
    <x v="4"/>
    <x v="0"/>
    <x v="2"/>
    <x v="1"/>
    <x v="20"/>
    <n v="14"/>
    <n v="23372"/>
    <n v="10"/>
    <n v="294487.2"/>
    <n v="32720.800000000003"/>
    <s v="Unique Order ID"/>
  </r>
  <r>
    <s v="ORD10246"/>
    <x v="45"/>
    <x v="16"/>
    <x v="1"/>
    <x v="4"/>
    <x v="1"/>
    <x v="11"/>
    <n v="14"/>
    <n v="49043"/>
    <n v="10"/>
    <n v="617941.80000000005"/>
    <n v="68660.2"/>
    <s v="Unique Order ID"/>
  </r>
  <r>
    <s v="ORD10247"/>
    <x v="21"/>
    <x v="10"/>
    <x v="3"/>
    <x v="2"/>
    <x v="1"/>
    <x v="20"/>
    <n v="1"/>
    <n v="20563"/>
    <n v="0"/>
    <n v="20563"/>
    <n v="0"/>
    <s v="Unique Order ID"/>
  </r>
  <r>
    <s v="ORD10248"/>
    <x v="49"/>
    <x v="10"/>
    <x v="3"/>
    <x v="0"/>
    <x v="0"/>
    <x v="0"/>
    <n v="6"/>
    <n v="40830"/>
    <n v="0"/>
    <n v="195984"/>
    <n v="0"/>
    <s v="Unique Order ID"/>
  </r>
  <r>
    <s v="ORD10249"/>
    <x v="63"/>
    <x v="5"/>
    <x v="3"/>
    <x v="1"/>
    <x v="2"/>
    <x v="2"/>
    <n v="8"/>
    <n v="40619"/>
    <n v="0"/>
    <n v="276209.2"/>
    <n v="0"/>
    <s v="Unique Order ID"/>
  </r>
  <r>
    <s v="ORD10250"/>
    <x v="39"/>
    <x v="11"/>
    <x v="3"/>
    <x v="3"/>
    <x v="1"/>
    <x v="22"/>
    <n v="12"/>
    <n v="32315"/>
    <n v="20"/>
    <n v="310224"/>
    <n v="77556"/>
    <s v="Unique Order ID"/>
  </r>
  <r>
    <s v="ORD10251"/>
    <x v="39"/>
    <x v="14"/>
    <x v="3"/>
    <x v="1"/>
    <x v="0"/>
    <x v="0"/>
    <n v="13"/>
    <n v="37657"/>
    <n v="15"/>
    <n v="416109.85"/>
    <n v="73431.149999999994"/>
    <s v="Unique Order ID"/>
  </r>
  <r>
    <s v="ORD10252"/>
    <x v="84"/>
    <x v="12"/>
    <x v="3"/>
    <x v="2"/>
    <x v="2"/>
    <x v="13"/>
    <n v="4"/>
    <n v="8395"/>
    <n v="20"/>
    <n v="26864"/>
    <n v="6716"/>
    <s v="Unique Order ID"/>
  </r>
  <r>
    <s v="ORD10253"/>
    <x v="57"/>
    <x v="7"/>
    <x v="3"/>
    <x v="3"/>
    <x v="1"/>
    <x v="1"/>
    <n v="8"/>
    <n v="9405.6"/>
    <n v="20"/>
    <n v="75244.800000000003"/>
    <n v="15048.960000000001"/>
    <s v="Unique Order ID"/>
  </r>
  <r>
    <s v="ORD10254"/>
    <x v="61"/>
    <x v="12"/>
    <x v="1"/>
    <x v="1"/>
    <x v="2"/>
    <x v="10"/>
    <n v="5"/>
    <n v="11027"/>
    <n v="10"/>
    <n v="49621.5"/>
    <n v="5513.5"/>
    <s v="Unique Order ID"/>
  </r>
  <r>
    <s v="ORD10255"/>
    <x v="80"/>
    <x v="3"/>
    <x v="1"/>
    <x v="4"/>
    <x v="2"/>
    <x v="10"/>
    <n v="11"/>
    <n v="15365"/>
    <n v="0"/>
    <n v="169015"/>
    <n v="0"/>
    <s v="Unique Order ID"/>
  </r>
  <r>
    <s v="ORD10256"/>
    <x v="1"/>
    <x v="17"/>
    <x v="0"/>
    <x v="2"/>
    <x v="2"/>
    <x v="15"/>
    <n v="8"/>
    <n v="48454"/>
    <n v="20"/>
    <n v="310105.59999999998"/>
    <n v="77526.400000000009"/>
    <s v="Unique Order ID"/>
  </r>
  <r>
    <s v="ORD10257"/>
    <x v="46"/>
    <x v="18"/>
    <x v="2"/>
    <x v="2"/>
    <x v="0"/>
    <x v="19"/>
    <n v="15"/>
    <n v="7057"/>
    <n v="5"/>
    <n v="100562.25"/>
    <n v="5292.75"/>
    <s v="Unique Order ID"/>
  </r>
  <r>
    <s v="ORD10258"/>
    <x v="21"/>
    <x v="1"/>
    <x v="1"/>
    <x v="2"/>
    <x v="1"/>
    <x v="23"/>
    <n v="11"/>
    <n v="35727"/>
    <n v="0"/>
    <n v="392997"/>
    <n v="0"/>
    <s v="Unique Order ID"/>
  </r>
  <r>
    <s v="ORD10259"/>
    <x v="10"/>
    <x v="6"/>
    <x v="2"/>
    <x v="0"/>
    <x v="2"/>
    <x v="9"/>
    <n v="8"/>
    <n v="7561"/>
    <n v="5"/>
    <n v="57463.6"/>
    <n v="3024.4"/>
    <s v="Unique Order ID"/>
  </r>
  <r>
    <s v="ORD10260"/>
    <x v="54"/>
    <x v="7"/>
    <x v="2"/>
    <x v="3"/>
    <x v="0"/>
    <x v="19"/>
    <n v="2"/>
    <n v="38377"/>
    <n v="15"/>
    <n v="65240.9"/>
    <n v="11513.1"/>
    <s v="Unique Order ID"/>
  </r>
  <r>
    <s v="ORD10261"/>
    <x v="64"/>
    <x v="9"/>
    <x v="3"/>
    <x v="1"/>
    <x v="2"/>
    <x v="15"/>
    <n v="10"/>
    <n v="58847"/>
    <n v="5"/>
    <n v="559046.5"/>
    <n v="29423.5"/>
    <s v="Unique Order ID"/>
  </r>
  <r>
    <s v="ORD10262"/>
    <x v="57"/>
    <x v="0"/>
    <x v="1"/>
    <x v="2"/>
    <x v="2"/>
    <x v="3"/>
    <n v="14"/>
    <n v="6441"/>
    <n v="10"/>
    <n v="81156.600000000006"/>
    <n v="9017.4"/>
    <s v="Unique Order ID"/>
  </r>
  <r>
    <s v="ORD10263"/>
    <x v="60"/>
    <x v="10"/>
    <x v="3"/>
    <x v="3"/>
    <x v="1"/>
    <x v="16"/>
    <n v="8"/>
    <n v="47803"/>
    <n v="0"/>
    <n v="382424"/>
    <n v="0"/>
    <s v="Unique Order ID"/>
  </r>
  <r>
    <s v="ORD10264"/>
    <x v="33"/>
    <x v="7"/>
    <x v="2"/>
    <x v="0"/>
    <x v="2"/>
    <x v="9"/>
    <n v="9"/>
    <n v="43794"/>
    <n v="15"/>
    <n v="335024.09999999998"/>
    <n v="59121.899999999994"/>
    <s v="Unique Order ID"/>
  </r>
  <r>
    <s v="ORD10265"/>
    <x v="78"/>
    <x v="19"/>
    <x v="0"/>
    <x v="2"/>
    <x v="0"/>
    <x v="8"/>
    <n v="12"/>
    <n v="49714"/>
    <n v="15"/>
    <n v="507082.8"/>
    <n v="89485.2"/>
    <s v="Unique Order ID"/>
  </r>
  <r>
    <s v="ORD10266"/>
    <x v="33"/>
    <x v="18"/>
    <x v="0"/>
    <x v="2"/>
    <x v="2"/>
    <x v="2"/>
    <n v="15"/>
    <n v="58309"/>
    <n v="5"/>
    <n v="830903.25"/>
    <n v="43731.75"/>
    <s v="Unique Order ID"/>
  </r>
  <r>
    <s v="ORD10267"/>
    <x v="34"/>
    <x v="0"/>
    <x v="0"/>
    <x v="4"/>
    <x v="0"/>
    <x v="8"/>
    <n v="8"/>
    <n v="22193"/>
    <n v="15"/>
    <n v="150912.4"/>
    <n v="26631.599999999999"/>
    <s v="Unique Order ID"/>
  </r>
  <r>
    <s v="ORD10268"/>
    <x v="8"/>
    <x v="17"/>
    <x v="0"/>
    <x v="4"/>
    <x v="1"/>
    <x v="6"/>
    <n v="2"/>
    <n v="58871"/>
    <n v="20"/>
    <n v="94193.600000000006"/>
    <n v="23548.400000000001"/>
    <s v="Unique Order ID"/>
  </r>
  <r>
    <s v="ORD10269"/>
    <x v="4"/>
    <x v="6"/>
    <x v="1"/>
    <x v="1"/>
    <x v="0"/>
    <x v="0"/>
    <n v="2"/>
    <n v="41211"/>
    <n v="10"/>
    <n v="74179.8"/>
    <n v="8242.2000000000007"/>
    <s v="Unique Order ID"/>
  </r>
  <r>
    <s v="ORD10270"/>
    <x v="88"/>
    <x v="5"/>
    <x v="3"/>
    <x v="3"/>
    <x v="0"/>
    <x v="17"/>
    <n v="14"/>
    <n v="19856"/>
    <n v="15"/>
    <n v="236286.4"/>
    <n v="41697.599999999999"/>
    <s v="Unique Order ID"/>
  </r>
  <r>
    <s v="ORD10271"/>
    <x v="24"/>
    <x v="18"/>
    <x v="2"/>
    <x v="2"/>
    <x v="1"/>
    <x v="11"/>
    <n v="1"/>
    <n v="1140"/>
    <n v="0"/>
    <n v="1140"/>
    <n v="0"/>
    <s v="Unique Order ID"/>
  </r>
  <r>
    <s v="ORD10272"/>
    <x v="52"/>
    <x v="5"/>
    <x v="2"/>
    <x v="2"/>
    <x v="0"/>
    <x v="14"/>
    <n v="12"/>
    <n v="23013"/>
    <n v="5"/>
    <n v="262348.2"/>
    <n v="13807.800000000001"/>
    <s v="Unique Order ID"/>
  </r>
  <r>
    <s v="ORD10273"/>
    <x v="28"/>
    <x v="11"/>
    <x v="0"/>
    <x v="2"/>
    <x v="2"/>
    <x v="9"/>
    <n v="4"/>
    <n v="57641"/>
    <n v="0"/>
    <n v="230564"/>
    <n v="0"/>
    <s v="Unique Order ID"/>
  </r>
  <r>
    <s v="ORD10274"/>
    <x v="30"/>
    <x v="10"/>
    <x v="3"/>
    <x v="1"/>
    <x v="1"/>
    <x v="7"/>
    <n v="14"/>
    <n v="9204"/>
    <n v="0"/>
    <n v="128856"/>
    <n v="0"/>
    <s v="Unique Order ID"/>
  </r>
  <r>
    <s v="ORD10275"/>
    <x v="12"/>
    <x v="7"/>
    <x v="2"/>
    <x v="4"/>
    <x v="1"/>
    <x v="16"/>
    <n v="3"/>
    <n v="25008"/>
    <n v="15"/>
    <n v="63770.400000000001"/>
    <n v="11253.6"/>
    <s v="Unique Order ID"/>
  </r>
  <r>
    <s v="ORD10276"/>
    <x v="68"/>
    <x v="16"/>
    <x v="1"/>
    <x v="1"/>
    <x v="1"/>
    <x v="7"/>
    <n v="11"/>
    <n v="28284"/>
    <n v="0"/>
    <n v="264455.40000000002"/>
    <n v="0"/>
    <s v="Unique Order ID"/>
  </r>
  <r>
    <s v="ORD10277"/>
    <x v="3"/>
    <x v="13"/>
    <x v="1"/>
    <x v="3"/>
    <x v="1"/>
    <x v="4"/>
    <n v="8"/>
    <n v="58664"/>
    <n v="0"/>
    <n v="445846.4"/>
    <n v="0"/>
    <s v="Unique Order ID"/>
  </r>
  <r>
    <s v="ORD10278"/>
    <x v="12"/>
    <x v="11"/>
    <x v="3"/>
    <x v="1"/>
    <x v="0"/>
    <x v="21"/>
    <n v="13"/>
    <n v="11913"/>
    <n v="0"/>
    <n v="154869"/>
    <n v="0"/>
    <s v="Unique Order ID"/>
  </r>
  <r>
    <s v="ORD10279"/>
    <x v="29"/>
    <x v="3"/>
    <x v="1"/>
    <x v="1"/>
    <x v="2"/>
    <x v="13"/>
    <n v="12"/>
    <n v="57538"/>
    <n v="10"/>
    <n v="621410.4"/>
    <n v="69045.600000000006"/>
    <s v="Unique Order ID"/>
  </r>
  <r>
    <s v="ORD10280"/>
    <x v="66"/>
    <x v="19"/>
    <x v="2"/>
    <x v="3"/>
    <x v="1"/>
    <x v="6"/>
    <n v="10"/>
    <n v="16146"/>
    <n v="15"/>
    <n v="137241"/>
    <n v="24219"/>
    <s v="Unique Order ID"/>
  </r>
  <r>
    <s v="ORD10281"/>
    <x v="6"/>
    <x v="9"/>
    <x v="0"/>
    <x v="4"/>
    <x v="0"/>
    <x v="12"/>
    <n v="11"/>
    <n v="15543"/>
    <n v="15"/>
    <n v="145327.04999999999"/>
    <n v="25645.95"/>
    <s v="Unique Order ID"/>
  </r>
  <r>
    <s v="ORD10282"/>
    <x v="73"/>
    <x v="9"/>
    <x v="2"/>
    <x v="1"/>
    <x v="2"/>
    <x v="10"/>
    <n v="6"/>
    <n v="50957"/>
    <n v="0"/>
    <n v="305742"/>
    <n v="0"/>
    <s v="Unique Order ID"/>
  </r>
  <r>
    <s v="ORD10283"/>
    <x v="11"/>
    <x v="15"/>
    <x v="1"/>
    <x v="0"/>
    <x v="2"/>
    <x v="10"/>
    <n v="15"/>
    <n v="52801"/>
    <n v="20"/>
    <n v="633612"/>
    <n v="158403"/>
    <s v="Unique Order ID"/>
  </r>
  <r>
    <s v="ORD10284"/>
    <x v="82"/>
    <x v="3"/>
    <x v="1"/>
    <x v="1"/>
    <x v="0"/>
    <x v="17"/>
    <n v="8"/>
    <n v="17583"/>
    <n v="0"/>
    <n v="140664"/>
    <n v="0"/>
    <s v="Unique Order ID"/>
  </r>
  <r>
    <s v="ORD10285"/>
    <x v="59"/>
    <x v="15"/>
    <x v="0"/>
    <x v="0"/>
    <x v="2"/>
    <x v="2"/>
    <n v="15"/>
    <n v="47480"/>
    <n v="5"/>
    <n v="676590"/>
    <n v="35610"/>
    <s v="Unique Order ID"/>
  </r>
  <r>
    <s v="ORD10286"/>
    <x v="84"/>
    <x v="13"/>
    <x v="1"/>
    <x v="2"/>
    <x v="2"/>
    <x v="9"/>
    <n v="8"/>
    <n v="29266"/>
    <n v="0"/>
    <n v="234128"/>
    <n v="0"/>
    <s v="Unique Order ID"/>
  </r>
  <r>
    <s v="ORD10287"/>
    <x v="29"/>
    <x v="0"/>
    <x v="0"/>
    <x v="1"/>
    <x v="1"/>
    <x v="11"/>
    <n v="7"/>
    <n v="59703"/>
    <n v="0"/>
    <n v="417921"/>
    <n v="0"/>
    <s v="Unique Order ID"/>
  </r>
  <r>
    <s v="ORD10288"/>
    <x v="85"/>
    <x v="19"/>
    <x v="2"/>
    <x v="3"/>
    <x v="1"/>
    <x v="1"/>
    <n v="12"/>
    <n v="19469"/>
    <n v="5"/>
    <n v="221946.6"/>
    <n v="11681.400000000001"/>
    <s v="Unique Order ID"/>
  </r>
  <r>
    <s v="ORD10289"/>
    <x v="10"/>
    <x v="5"/>
    <x v="3"/>
    <x v="3"/>
    <x v="2"/>
    <x v="15"/>
    <n v="11"/>
    <n v="21932"/>
    <n v="15"/>
    <n v="205064.2"/>
    <n v="36187.799999999996"/>
    <s v="Unique Order ID"/>
  </r>
  <r>
    <s v="ORD10290"/>
    <x v="25"/>
    <x v="6"/>
    <x v="2"/>
    <x v="1"/>
    <x v="1"/>
    <x v="23"/>
    <n v="10"/>
    <n v="52414"/>
    <n v="10"/>
    <n v="471726"/>
    <n v="52414"/>
    <s v="Unique Order ID"/>
  </r>
  <r>
    <s v="ORD10291"/>
    <x v="3"/>
    <x v="2"/>
    <x v="2"/>
    <x v="1"/>
    <x v="1"/>
    <x v="4"/>
    <n v="2"/>
    <n v="21220"/>
    <n v="0"/>
    <n v="42440"/>
    <n v="0"/>
    <s v="Unique Order ID"/>
  </r>
  <r>
    <s v="ORD10292"/>
    <x v="56"/>
    <x v="10"/>
    <x v="1"/>
    <x v="3"/>
    <x v="1"/>
    <x v="23"/>
    <n v="12"/>
    <n v="57334"/>
    <n v="20"/>
    <n v="550406.40000000002"/>
    <n v="137601.60000000001"/>
    <s v="Unique Order ID"/>
  </r>
  <r>
    <s v="ORD10293"/>
    <x v="78"/>
    <x v="18"/>
    <x v="3"/>
    <x v="4"/>
    <x v="0"/>
    <x v="17"/>
    <n v="7"/>
    <n v="20311"/>
    <n v="10"/>
    <n v="127959.3"/>
    <n v="14217.7"/>
    <s v="Unique Order ID"/>
  </r>
  <r>
    <s v="ORD10294"/>
    <x v="48"/>
    <x v="17"/>
    <x v="1"/>
    <x v="3"/>
    <x v="0"/>
    <x v="8"/>
    <n v="14"/>
    <n v="15526"/>
    <n v="0"/>
    <n v="217364"/>
    <n v="0"/>
    <s v="Unique Order ID"/>
  </r>
  <r>
    <s v="ORD10295"/>
    <x v="70"/>
    <x v="15"/>
    <x v="1"/>
    <x v="3"/>
    <x v="2"/>
    <x v="13"/>
    <n v="6"/>
    <n v="51314"/>
    <n v="0"/>
    <n v="307884"/>
    <n v="0"/>
    <s v="Unique Order ID"/>
  </r>
  <r>
    <s v="ORD10296"/>
    <x v="89"/>
    <x v="13"/>
    <x v="3"/>
    <x v="0"/>
    <x v="1"/>
    <x v="4"/>
    <n v="10"/>
    <n v="14832"/>
    <n v="15"/>
    <n v="126072"/>
    <n v="22248"/>
    <s v="Unique Order ID"/>
  </r>
  <r>
    <s v="ORD10297"/>
    <x v="53"/>
    <x v="2"/>
    <x v="2"/>
    <x v="4"/>
    <x v="2"/>
    <x v="2"/>
    <n v="11"/>
    <n v="10257.15"/>
    <n v="0"/>
    <n v="112828.65"/>
    <n v="0"/>
    <s v="Unique Order ID"/>
  </r>
  <r>
    <s v="ORD10298"/>
    <x v="1"/>
    <x v="0"/>
    <x v="0"/>
    <x v="2"/>
    <x v="1"/>
    <x v="4"/>
    <n v="12"/>
    <n v="27124"/>
    <n v="10"/>
    <n v="292939.2"/>
    <n v="32548.800000000003"/>
    <s v="Unique Order ID"/>
  </r>
  <r>
    <s v="ORD10299"/>
    <x v="12"/>
    <x v="5"/>
    <x v="2"/>
    <x v="1"/>
    <x v="0"/>
    <x v="19"/>
    <n v="8"/>
    <n v="35335"/>
    <n v="10"/>
    <n v="254412"/>
    <n v="28268"/>
    <s v="Unique Order ID"/>
  </r>
  <r>
    <s v="ORD10300"/>
    <x v="55"/>
    <x v="5"/>
    <x v="1"/>
    <x v="2"/>
    <x v="0"/>
    <x v="17"/>
    <n v="15"/>
    <n v="1670"/>
    <n v="0"/>
    <n v="25050"/>
    <n v="0"/>
    <s v="Unique Order ID"/>
  </r>
  <r>
    <s v="ORD10301"/>
    <x v="76"/>
    <x v="15"/>
    <x v="2"/>
    <x v="3"/>
    <x v="1"/>
    <x v="16"/>
    <n v="11"/>
    <n v="57685"/>
    <n v="15"/>
    <n v="539354.75"/>
    <n v="95180.25"/>
    <s v="Unique Order ID"/>
  </r>
  <r>
    <s v="ORD10302"/>
    <x v="19"/>
    <x v="16"/>
    <x v="1"/>
    <x v="0"/>
    <x v="0"/>
    <x v="0"/>
    <n v="10"/>
    <n v="13260"/>
    <n v="0"/>
    <n v="132600"/>
    <n v="0"/>
    <s v="Duplicate Order ID"/>
  </r>
  <r>
    <s v="ORD10302"/>
    <x v="53"/>
    <x v="0"/>
    <x v="2"/>
    <x v="3"/>
    <x v="0"/>
    <x v="18"/>
    <n v="4"/>
    <n v="30719"/>
    <n v="20"/>
    <n v="98300.800000000003"/>
    <n v="24575.200000000001"/>
    <s v="Duplicate Order ID"/>
  </r>
  <r>
    <s v="ORD10304"/>
    <x v="51"/>
    <x v="12"/>
    <x v="1"/>
    <x v="4"/>
    <x v="1"/>
    <x v="16"/>
    <n v="1"/>
    <n v="53415"/>
    <n v="10"/>
    <n v="48073.5"/>
    <n v="5341.5"/>
    <s v="Unique Order ID"/>
  </r>
  <r>
    <s v="ORD10305"/>
    <x v="6"/>
    <x v="6"/>
    <x v="3"/>
    <x v="1"/>
    <x v="0"/>
    <x v="14"/>
    <n v="12"/>
    <n v="23013"/>
    <n v="20"/>
    <n v="220924.79999999999"/>
    <n v="55231.200000000004"/>
    <s v="Unique Order ID"/>
  </r>
  <r>
    <s v="ORD10306"/>
    <x v="65"/>
    <x v="9"/>
    <x v="0"/>
    <x v="4"/>
    <x v="0"/>
    <x v="0"/>
    <n v="8"/>
    <n v="38836"/>
    <n v="15"/>
    <n v="264084.8"/>
    <n v="46603.199999999997"/>
    <s v="Unique Order ID"/>
  </r>
  <r>
    <s v="ORD10307"/>
    <x v="50"/>
    <x v="1"/>
    <x v="2"/>
    <x v="4"/>
    <x v="0"/>
    <x v="18"/>
    <n v="14.999999999999998"/>
    <n v="21692"/>
    <n v="20"/>
    <n v="260304"/>
    <n v="65075.999999999993"/>
    <s v="Unique Order ID"/>
  </r>
  <r>
    <s v="ORD10308"/>
    <x v="68"/>
    <x v="13"/>
    <x v="1"/>
    <x v="2"/>
    <x v="2"/>
    <x v="3"/>
    <n v="9"/>
    <n v="16795"/>
    <n v="20"/>
    <n v="120924"/>
    <n v="30231"/>
    <s v="Unique Order ID"/>
  </r>
  <r>
    <s v="ORD10309"/>
    <x v="50"/>
    <x v="6"/>
    <x v="1"/>
    <x v="3"/>
    <x v="2"/>
    <x v="3"/>
    <n v="8"/>
    <n v="55042"/>
    <n v="0"/>
    <n v="440336"/>
    <n v="0"/>
    <s v="Unique Order ID"/>
  </r>
  <r>
    <s v="ORD10310"/>
    <x v="77"/>
    <x v="6"/>
    <x v="0"/>
    <x v="2"/>
    <x v="1"/>
    <x v="22"/>
    <n v="4"/>
    <n v="56959"/>
    <n v="5"/>
    <n v="216444.2"/>
    <n v="11391.800000000001"/>
    <s v="Unique Order ID"/>
  </r>
  <r>
    <s v="ORD10311"/>
    <x v="68"/>
    <x v="2"/>
    <x v="3"/>
    <x v="1"/>
    <x v="0"/>
    <x v="20"/>
    <n v="5"/>
    <n v="38326"/>
    <n v="15"/>
    <n v="162885.5"/>
    <n v="28744.5"/>
    <s v="Unique Order ID"/>
  </r>
  <r>
    <s v="ORD10312"/>
    <x v="25"/>
    <x v="8"/>
    <x v="1"/>
    <x v="4"/>
    <x v="1"/>
    <x v="16"/>
    <n v="8"/>
    <n v="45434"/>
    <n v="15"/>
    <n v="308951.2"/>
    <n v="54520.799999999996"/>
    <s v="Unique Order ID"/>
  </r>
  <r>
    <s v="ORD10313"/>
    <x v="12"/>
    <x v="3"/>
    <x v="0"/>
    <x v="4"/>
    <x v="1"/>
    <x v="22"/>
    <n v="15"/>
    <n v="38487"/>
    <n v="5"/>
    <n v="548439.75"/>
    <n v="28865.25"/>
    <s v="Unique Order ID"/>
  </r>
  <r>
    <s v="ORD10314"/>
    <x v="62"/>
    <x v="18"/>
    <x v="1"/>
    <x v="1"/>
    <x v="1"/>
    <x v="0"/>
    <n v="13"/>
    <n v="56077"/>
    <n v="20"/>
    <n v="583200.80000000005"/>
    <n v="145800.20000000001"/>
    <s v="Unique Order ID"/>
  </r>
  <r>
    <s v="ORD10315"/>
    <x v="25"/>
    <x v="7"/>
    <x v="3"/>
    <x v="1"/>
    <x v="1"/>
    <x v="22"/>
    <n v="4"/>
    <n v="53312"/>
    <n v="10"/>
    <n v="191923.20000000001"/>
    <n v="21324.800000000003"/>
    <s v="Unique Order ID"/>
  </r>
  <r>
    <s v="ORD10316"/>
    <x v="11"/>
    <x v="5"/>
    <x v="0"/>
    <x v="3"/>
    <x v="2"/>
    <x v="9"/>
    <n v="10"/>
    <n v="27601"/>
    <n v="15"/>
    <n v="234608.5"/>
    <n v="41401.5"/>
    <s v="Unique Order ID"/>
  </r>
  <r>
    <s v="ORD10317"/>
    <x v="66"/>
    <x v="8"/>
    <x v="3"/>
    <x v="2"/>
    <x v="0"/>
    <x v="0"/>
    <n v="11"/>
    <n v="29538"/>
    <n v="0"/>
    <n v="324918"/>
    <n v="0"/>
    <s v="Unique Order ID"/>
  </r>
  <r>
    <s v="ORD10318"/>
    <x v="81"/>
    <x v="8"/>
    <x v="0"/>
    <x v="3"/>
    <x v="2"/>
    <x v="13"/>
    <n v="12"/>
    <n v="17874"/>
    <n v="20"/>
    <n v="171590.39999999999"/>
    <n v="42897.600000000006"/>
    <s v="Unique Order ID"/>
  </r>
  <r>
    <s v="ORD10319"/>
    <x v="47"/>
    <x v="13"/>
    <x v="1"/>
    <x v="4"/>
    <x v="1"/>
    <x v="6"/>
    <n v="14"/>
    <n v="36415"/>
    <n v="15"/>
    <n v="433338.5"/>
    <n v="76471.5"/>
    <s v="Unique Order ID"/>
  </r>
  <r>
    <s v="ORD10320"/>
    <x v="76"/>
    <x v="10"/>
    <x v="3"/>
    <x v="2"/>
    <x v="2"/>
    <x v="13"/>
    <n v="15"/>
    <n v="8718"/>
    <n v="15"/>
    <n v="111154.5"/>
    <n v="19615.5"/>
    <s v="Unique Order ID"/>
  </r>
  <r>
    <s v="ORD10321"/>
    <x v="37"/>
    <x v="6"/>
    <x v="3"/>
    <x v="0"/>
    <x v="0"/>
    <x v="17"/>
    <n v="14"/>
    <n v="4266"/>
    <n v="0"/>
    <n v="59724"/>
    <n v="0"/>
    <s v="Unique Order ID"/>
  </r>
  <r>
    <s v="ORD10322"/>
    <x v="87"/>
    <x v="5"/>
    <x v="3"/>
    <x v="4"/>
    <x v="2"/>
    <x v="9"/>
    <n v="11"/>
    <n v="12678"/>
    <n v="0"/>
    <n v="139458"/>
    <n v="0"/>
    <s v="Unique Order ID"/>
  </r>
  <r>
    <s v="ORD10323"/>
    <x v="62"/>
    <x v="10"/>
    <x v="2"/>
    <x v="4"/>
    <x v="1"/>
    <x v="20"/>
    <n v="2"/>
    <n v="49642"/>
    <n v="0"/>
    <n v="99284"/>
    <n v="0"/>
    <s v="Unique Order ID"/>
  </r>
  <r>
    <s v="ORD10324"/>
    <x v="52"/>
    <x v="13"/>
    <x v="2"/>
    <x v="0"/>
    <x v="1"/>
    <x v="16"/>
    <n v="9"/>
    <n v="16798"/>
    <n v="15"/>
    <n v="128504.7"/>
    <n v="22677.3"/>
    <s v="Unique Order ID"/>
  </r>
  <r>
    <s v="ORD10325"/>
    <x v="82"/>
    <x v="14"/>
    <x v="3"/>
    <x v="1"/>
    <x v="1"/>
    <x v="1"/>
    <n v="12"/>
    <n v="49019"/>
    <n v="5"/>
    <n v="558816.6"/>
    <n v="29411.4"/>
    <s v="Unique Order ID"/>
  </r>
  <r>
    <s v="ORD10326"/>
    <x v="85"/>
    <x v="9"/>
    <x v="2"/>
    <x v="1"/>
    <x v="0"/>
    <x v="18"/>
    <n v="7"/>
    <n v="8908"/>
    <n v="0"/>
    <n v="62356"/>
    <n v="0"/>
    <s v="Unique Order ID"/>
  </r>
  <r>
    <s v="ORD10327"/>
    <x v="83"/>
    <x v="1"/>
    <x v="2"/>
    <x v="3"/>
    <x v="1"/>
    <x v="16"/>
    <n v="12"/>
    <n v="14415"/>
    <n v="20"/>
    <n v="138384"/>
    <n v="34596"/>
    <s v="Duplicate Order ID"/>
  </r>
  <r>
    <s v="ORD10327"/>
    <x v="64"/>
    <x v="8"/>
    <x v="1"/>
    <x v="3"/>
    <x v="2"/>
    <x v="2"/>
    <n v="15"/>
    <n v="3645"/>
    <n v="10"/>
    <n v="49207.5"/>
    <n v="5467.5"/>
    <s v="Duplicate Order ID"/>
  </r>
  <r>
    <s v="ORD10329"/>
    <x v="22"/>
    <x v="6"/>
    <x v="3"/>
    <x v="3"/>
    <x v="2"/>
    <x v="15"/>
    <n v="12"/>
    <n v="7181"/>
    <n v="5"/>
    <n v="81863.399999999994"/>
    <n v="4308.6000000000004"/>
    <s v="Unique Order ID"/>
  </r>
  <r>
    <s v="ORD10330"/>
    <x v="11"/>
    <x v="9"/>
    <x v="3"/>
    <x v="4"/>
    <x v="1"/>
    <x v="11"/>
    <n v="3"/>
    <n v="11750.550000000001"/>
    <n v="5"/>
    <n v="35251.65"/>
    <n v="1762.5825000000002"/>
    <s v="Unique Order ID"/>
  </r>
  <r>
    <s v="ORD10331"/>
    <x v="34"/>
    <x v="12"/>
    <x v="0"/>
    <x v="2"/>
    <x v="0"/>
    <x v="21"/>
    <n v="15"/>
    <n v="55088"/>
    <n v="15"/>
    <n v="702372"/>
    <n v="123948"/>
    <s v="Unique Order ID"/>
  </r>
  <r>
    <s v="ORD10332"/>
    <x v="39"/>
    <x v="18"/>
    <x v="3"/>
    <x v="0"/>
    <x v="2"/>
    <x v="3"/>
    <n v="15"/>
    <n v="10689"/>
    <n v="0"/>
    <n v="160335"/>
    <n v="0"/>
    <s v="Unique Order ID"/>
  </r>
  <r>
    <s v="ORD10333"/>
    <x v="42"/>
    <x v="7"/>
    <x v="2"/>
    <x v="2"/>
    <x v="2"/>
    <x v="10"/>
    <n v="6"/>
    <n v="30920"/>
    <n v="5"/>
    <n v="176244"/>
    <n v="9276"/>
    <s v="Unique Order ID"/>
  </r>
  <r>
    <s v="ORD10334"/>
    <x v="11"/>
    <x v="19"/>
    <x v="2"/>
    <x v="3"/>
    <x v="0"/>
    <x v="17"/>
    <n v="14"/>
    <n v="15027"/>
    <n v="20"/>
    <n v="168302.4"/>
    <n v="42075.600000000006"/>
    <s v="Unique Order ID"/>
  </r>
  <r>
    <s v="ORD10335"/>
    <x v="14"/>
    <x v="3"/>
    <x v="0"/>
    <x v="2"/>
    <x v="0"/>
    <x v="18"/>
    <n v="4"/>
    <n v="6910"/>
    <n v="0"/>
    <n v="27640"/>
    <n v="0"/>
    <s v="Unique Order ID"/>
  </r>
  <r>
    <s v="ORD10336"/>
    <x v="31"/>
    <x v="0"/>
    <x v="1"/>
    <x v="0"/>
    <x v="1"/>
    <x v="23"/>
    <n v="6"/>
    <n v="41466"/>
    <n v="0"/>
    <n v="248796"/>
    <n v="0"/>
    <s v="Unique Order ID"/>
  </r>
  <r>
    <s v="ORD10337"/>
    <x v="82"/>
    <x v="0"/>
    <x v="3"/>
    <x v="0"/>
    <x v="1"/>
    <x v="13"/>
    <n v="15"/>
    <n v="22055"/>
    <n v="10"/>
    <n v="297742.5"/>
    <n v="33082.5"/>
    <s v="Unique Order ID"/>
  </r>
  <r>
    <s v="ORD10338"/>
    <x v="26"/>
    <x v="11"/>
    <x v="0"/>
    <x v="2"/>
    <x v="0"/>
    <x v="19"/>
    <n v="3"/>
    <n v="54009"/>
    <n v="15"/>
    <n v="137722.95000000001"/>
    <n v="24304.05"/>
    <s v="Unique Order ID"/>
  </r>
  <r>
    <s v="ORD10339"/>
    <x v="48"/>
    <x v="12"/>
    <x v="1"/>
    <x v="3"/>
    <x v="1"/>
    <x v="7"/>
    <n v="1"/>
    <n v="14149"/>
    <n v="15"/>
    <n v="12026.65"/>
    <n v="2122.35"/>
    <s v="Unique Order ID"/>
  </r>
  <r>
    <s v="ORD10340"/>
    <x v="85"/>
    <x v="3"/>
    <x v="3"/>
    <x v="0"/>
    <x v="1"/>
    <x v="4"/>
    <n v="8"/>
    <n v="39743.199999999997"/>
    <n v="20"/>
    <n v="317945.59999999998"/>
    <n v="63589.119999999995"/>
    <s v="Unique Order ID"/>
  </r>
  <r>
    <s v="ORD10341"/>
    <x v="44"/>
    <x v="13"/>
    <x v="2"/>
    <x v="1"/>
    <x v="1"/>
    <x v="11"/>
    <n v="6"/>
    <n v="35775"/>
    <n v="0"/>
    <n v="214650"/>
    <n v="0"/>
    <s v="Unique Order ID"/>
  </r>
  <r>
    <s v="ORD10342"/>
    <x v="64"/>
    <x v="9"/>
    <x v="0"/>
    <x v="0"/>
    <x v="0"/>
    <x v="12"/>
    <n v="14"/>
    <n v="24770"/>
    <n v="0"/>
    <n v="346780"/>
    <n v="0"/>
    <s v="Unique Order ID"/>
  </r>
  <r>
    <s v="ORD10343"/>
    <x v="79"/>
    <x v="7"/>
    <x v="0"/>
    <x v="1"/>
    <x v="1"/>
    <x v="6"/>
    <n v="1"/>
    <n v="34077"/>
    <n v="5"/>
    <n v="32373.15"/>
    <n v="1703.8500000000001"/>
    <s v="Unique Order ID"/>
  </r>
  <r>
    <s v="ORD10344"/>
    <x v="89"/>
    <x v="18"/>
    <x v="2"/>
    <x v="0"/>
    <x v="0"/>
    <x v="18"/>
    <n v="2"/>
    <n v="5870"/>
    <n v="0"/>
    <n v="11740"/>
    <n v="0"/>
    <s v="Unique Order ID"/>
  </r>
  <r>
    <s v="ORD10345"/>
    <x v="50"/>
    <x v="10"/>
    <x v="3"/>
    <x v="2"/>
    <x v="0"/>
    <x v="18"/>
    <n v="15"/>
    <n v="38764"/>
    <n v="0"/>
    <n v="581460"/>
    <n v="0"/>
    <s v="Unique Order ID"/>
  </r>
  <r>
    <s v="ORD10346"/>
    <x v="15"/>
    <x v="2"/>
    <x v="0"/>
    <x v="4"/>
    <x v="2"/>
    <x v="15"/>
    <n v="6"/>
    <n v="50101"/>
    <n v="0"/>
    <n v="300606"/>
    <n v="0"/>
    <s v="Unique Order ID"/>
  </r>
  <r>
    <s v="ORD10347"/>
    <x v="33"/>
    <x v="1"/>
    <x v="1"/>
    <x v="3"/>
    <x v="2"/>
    <x v="13"/>
    <n v="8"/>
    <n v="23569"/>
    <n v="20"/>
    <n v="150841.60000000001"/>
    <n v="37710.400000000001"/>
    <s v="Unique Order ID"/>
  </r>
  <r>
    <s v="ORD10348"/>
    <x v="19"/>
    <x v="12"/>
    <x v="1"/>
    <x v="4"/>
    <x v="1"/>
    <x v="20"/>
    <n v="2"/>
    <n v="51440"/>
    <n v="0"/>
    <n v="102880"/>
    <n v="0"/>
    <s v="Unique Order ID"/>
  </r>
  <r>
    <s v="ORD10349"/>
    <x v="85"/>
    <x v="4"/>
    <x v="1"/>
    <x v="3"/>
    <x v="0"/>
    <x v="19"/>
    <n v="8"/>
    <n v="29672"/>
    <n v="15"/>
    <n v="201769.60000000001"/>
    <n v="35606.400000000001"/>
    <s v="Unique Order ID"/>
  </r>
  <r>
    <s v="ORD10350"/>
    <x v="38"/>
    <x v="17"/>
    <x v="3"/>
    <x v="0"/>
    <x v="0"/>
    <x v="14"/>
    <n v="14"/>
    <n v="23916"/>
    <n v="0"/>
    <n v="334824"/>
    <n v="0"/>
    <s v="Unique Order ID"/>
  </r>
  <r>
    <s v="ORD10351"/>
    <x v="48"/>
    <x v="13"/>
    <x v="3"/>
    <x v="3"/>
    <x v="0"/>
    <x v="12"/>
    <n v="1"/>
    <n v="10348"/>
    <n v="5"/>
    <n v="9830.6"/>
    <n v="517.4"/>
    <s v="Unique Order ID"/>
  </r>
  <r>
    <s v="ORD10352"/>
    <x v="76"/>
    <x v="5"/>
    <x v="1"/>
    <x v="4"/>
    <x v="0"/>
    <x v="12"/>
    <n v="2"/>
    <n v="40544"/>
    <n v="0"/>
    <n v="81088"/>
    <n v="0"/>
    <s v="Unique Order ID"/>
  </r>
  <r>
    <s v="ORD10353"/>
    <x v="84"/>
    <x v="4"/>
    <x v="2"/>
    <x v="1"/>
    <x v="0"/>
    <x v="8"/>
    <n v="3"/>
    <n v="20491"/>
    <n v="0"/>
    <n v="61473"/>
    <n v="0"/>
    <s v="Unique Order ID"/>
  </r>
  <r>
    <s v="ORD10354"/>
    <x v="23"/>
    <x v="13"/>
    <x v="0"/>
    <x v="1"/>
    <x v="0"/>
    <x v="0"/>
    <n v="13"/>
    <n v="42167"/>
    <n v="0"/>
    <n v="548171"/>
    <n v="0"/>
    <s v="Unique Order ID"/>
  </r>
  <r>
    <s v="ORD10355"/>
    <x v="82"/>
    <x v="19"/>
    <x v="1"/>
    <x v="3"/>
    <x v="1"/>
    <x v="3"/>
    <n v="10"/>
    <n v="16420"/>
    <n v="10"/>
    <n v="147780"/>
    <n v="16420"/>
    <s v="Unique Order ID"/>
  </r>
  <r>
    <s v="ORD10356"/>
    <x v="82"/>
    <x v="7"/>
    <x v="3"/>
    <x v="1"/>
    <x v="0"/>
    <x v="21"/>
    <n v="9"/>
    <n v="31746"/>
    <n v="20"/>
    <n v="228571.2"/>
    <n v="57142.8"/>
    <s v="Unique Order ID"/>
  </r>
  <r>
    <s v="ORD10357"/>
    <x v="29"/>
    <x v="1"/>
    <x v="3"/>
    <x v="2"/>
    <x v="2"/>
    <x v="3"/>
    <n v="1"/>
    <n v="13631"/>
    <n v="10"/>
    <n v="12267.9"/>
    <n v="1363.1000000000001"/>
    <s v="Unique Order ID"/>
  </r>
  <r>
    <s v="ORD10358"/>
    <x v="31"/>
    <x v="16"/>
    <x v="3"/>
    <x v="0"/>
    <x v="2"/>
    <x v="15"/>
    <n v="9"/>
    <n v="20608"/>
    <n v="0"/>
    <n v="185472"/>
    <n v="0"/>
    <s v="Unique Order ID"/>
  </r>
  <r>
    <s v="ORD10359"/>
    <x v="62"/>
    <x v="1"/>
    <x v="0"/>
    <x v="1"/>
    <x v="0"/>
    <x v="21"/>
    <n v="2"/>
    <n v="24121"/>
    <n v="0"/>
    <n v="48242"/>
    <n v="0"/>
    <s v="Unique Order ID"/>
  </r>
  <r>
    <s v="ORD10360"/>
    <x v="23"/>
    <x v="0"/>
    <x v="1"/>
    <x v="4"/>
    <x v="1"/>
    <x v="16"/>
    <n v="6"/>
    <n v="49728"/>
    <n v="0"/>
    <n v="298368"/>
    <n v="0"/>
    <s v="Unique Order ID"/>
  </r>
  <r>
    <s v="ORD10361"/>
    <x v="61"/>
    <x v="17"/>
    <x v="1"/>
    <x v="4"/>
    <x v="2"/>
    <x v="13"/>
    <n v="6"/>
    <n v="18266"/>
    <n v="15"/>
    <n v="93156.6"/>
    <n v="16439.399999999998"/>
    <s v="Unique Order ID"/>
  </r>
  <r>
    <s v="ORD10362"/>
    <x v="82"/>
    <x v="2"/>
    <x v="3"/>
    <x v="0"/>
    <x v="1"/>
    <x v="6"/>
    <n v="11"/>
    <n v="11717"/>
    <n v="0"/>
    <n v="122442.65"/>
    <n v="0"/>
    <s v="Unique Order ID"/>
  </r>
  <r>
    <s v="ORD10363"/>
    <x v="87"/>
    <x v="12"/>
    <x v="0"/>
    <x v="2"/>
    <x v="1"/>
    <x v="4"/>
    <n v="3"/>
    <n v="26841"/>
    <n v="15"/>
    <n v="68444.55"/>
    <n v="12078.449999999999"/>
    <s v="Unique Order ID"/>
  </r>
  <r>
    <s v="ORD10364"/>
    <x v="43"/>
    <x v="2"/>
    <x v="1"/>
    <x v="3"/>
    <x v="2"/>
    <x v="10"/>
    <n v="1"/>
    <n v="21565"/>
    <n v="10"/>
    <n v="19408.5"/>
    <n v="2156.5"/>
    <s v="Unique Order ID"/>
  </r>
  <r>
    <s v="ORD10365"/>
    <x v="6"/>
    <x v="6"/>
    <x v="3"/>
    <x v="1"/>
    <x v="2"/>
    <x v="9"/>
    <n v="10"/>
    <n v="21726"/>
    <n v="5"/>
    <n v="206397"/>
    <n v="10863"/>
    <s v="Unique Order ID"/>
  </r>
  <r>
    <s v="ORD10366"/>
    <x v="21"/>
    <x v="18"/>
    <x v="1"/>
    <x v="3"/>
    <x v="2"/>
    <x v="10"/>
    <n v="1"/>
    <n v="21565"/>
    <n v="15"/>
    <n v="18330.25"/>
    <n v="3234.75"/>
    <s v="Duplicate Order ID"/>
  </r>
  <r>
    <s v="ORD10366"/>
    <x v="23"/>
    <x v="18"/>
    <x v="3"/>
    <x v="1"/>
    <x v="1"/>
    <x v="4"/>
    <n v="10"/>
    <n v="40904"/>
    <n v="15"/>
    <n v="347684"/>
    <n v="61356"/>
    <s v="Duplicate Order ID"/>
  </r>
  <r>
    <s v="ORD10368"/>
    <x v="25"/>
    <x v="11"/>
    <x v="3"/>
    <x v="1"/>
    <x v="1"/>
    <x v="16"/>
    <n v="7"/>
    <n v="25882"/>
    <n v="20"/>
    <n v="144939.20000000001"/>
    <n v="36234.800000000003"/>
    <s v="Unique Order ID"/>
  </r>
  <r>
    <s v="ORD10369"/>
    <x v="31"/>
    <x v="18"/>
    <x v="2"/>
    <x v="4"/>
    <x v="2"/>
    <x v="2"/>
    <n v="14"/>
    <n v="57395"/>
    <n v="0"/>
    <n v="803530"/>
    <n v="0"/>
    <s v="Unique Order ID"/>
  </r>
  <r>
    <s v="ORD10370"/>
    <x v="89"/>
    <x v="4"/>
    <x v="3"/>
    <x v="3"/>
    <x v="1"/>
    <x v="21"/>
    <n v="5"/>
    <n v="7013"/>
    <n v="0"/>
    <n v="35065"/>
    <n v="0"/>
    <s v="Unique Order ID"/>
  </r>
  <r>
    <s v="ORD10371"/>
    <x v="29"/>
    <x v="16"/>
    <x v="2"/>
    <x v="2"/>
    <x v="2"/>
    <x v="15"/>
    <n v="2"/>
    <n v="2963"/>
    <n v="5"/>
    <n v="5629.7"/>
    <n v="296.3"/>
    <s v="Unique Order ID"/>
  </r>
  <r>
    <s v="ORD10372"/>
    <x v="70"/>
    <x v="8"/>
    <x v="3"/>
    <x v="3"/>
    <x v="1"/>
    <x v="23"/>
    <n v="8"/>
    <n v="32798"/>
    <n v="10"/>
    <n v="236145.6"/>
    <n v="26238.400000000001"/>
    <s v="Unique Order ID"/>
  </r>
  <r>
    <s v="ORD10373"/>
    <x v="45"/>
    <x v="15"/>
    <x v="2"/>
    <x v="2"/>
    <x v="0"/>
    <x v="12"/>
    <n v="2"/>
    <n v="35129"/>
    <n v="0"/>
    <n v="70258"/>
    <n v="0"/>
    <s v="Unique Order ID"/>
  </r>
  <r>
    <s v="ORD10374"/>
    <x v="17"/>
    <x v="4"/>
    <x v="0"/>
    <x v="0"/>
    <x v="0"/>
    <x v="19"/>
    <n v="6"/>
    <n v="37687"/>
    <n v="5"/>
    <n v="214815.9"/>
    <n v="11306.1"/>
    <s v="Unique Order ID"/>
  </r>
  <r>
    <s v="ORD10375"/>
    <x v="17"/>
    <x v="6"/>
    <x v="2"/>
    <x v="3"/>
    <x v="1"/>
    <x v="1"/>
    <n v="9"/>
    <n v="47648"/>
    <n v="10"/>
    <n v="385948.8"/>
    <n v="42883.200000000004"/>
    <s v="Unique Order ID"/>
  </r>
  <r>
    <s v="ORD10376"/>
    <x v="20"/>
    <x v="12"/>
    <x v="2"/>
    <x v="2"/>
    <x v="0"/>
    <x v="0"/>
    <n v="6"/>
    <n v="15942"/>
    <n v="0"/>
    <n v="95652"/>
    <n v="0"/>
    <s v="Unique Order ID"/>
  </r>
  <r>
    <s v="ORD10377"/>
    <x v="51"/>
    <x v="9"/>
    <x v="3"/>
    <x v="0"/>
    <x v="1"/>
    <x v="6"/>
    <n v="1"/>
    <n v="18336"/>
    <n v="20"/>
    <n v="14668.8"/>
    <n v="3667.2000000000003"/>
    <s v="Unique Order ID"/>
  </r>
  <r>
    <s v="ORD10378"/>
    <x v="71"/>
    <x v="4"/>
    <x v="2"/>
    <x v="4"/>
    <x v="2"/>
    <x v="9"/>
    <n v="12"/>
    <n v="56777"/>
    <n v="0"/>
    <n v="681324"/>
    <n v="0"/>
    <s v="Unique Order ID"/>
  </r>
  <r>
    <s v="ORD10379"/>
    <x v="31"/>
    <x v="19"/>
    <x v="3"/>
    <x v="4"/>
    <x v="2"/>
    <x v="2"/>
    <n v="14"/>
    <n v="59833"/>
    <n v="15"/>
    <n v="712012.7"/>
    <n v="125649.29999999999"/>
    <s v="Unique Order ID"/>
  </r>
  <r>
    <s v="ORD10380"/>
    <x v="25"/>
    <x v="0"/>
    <x v="3"/>
    <x v="1"/>
    <x v="1"/>
    <x v="16"/>
    <n v="7"/>
    <n v="58425"/>
    <n v="0"/>
    <n v="408975"/>
    <n v="0"/>
    <s v="Unique Order ID"/>
  </r>
  <r>
    <s v="ORD10381"/>
    <x v="23"/>
    <x v="1"/>
    <x v="0"/>
    <x v="1"/>
    <x v="0"/>
    <x v="8"/>
    <n v="1"/>
    <n v="45774"/>
    <n v="0"/>
    <n v="45774"/>
    <n v="0"/>
    <s v="Unique Order ID"/>
  </r>
  <r>
    <s v="ORD10382"/>
    <x v="6"/>
    <x v="17"/>
    <x v="2"/>
    <x v="1"/>
    <x v="1"/>
    <x v="5"/>
    <n v="7"/>
    <n v="32696"/>
    <n v="10"/>
    <n v="205984.8"/>
    <n v="22887.200000000001"/>
    <s v="Unique Order ID"/>
  </r>
  <r>
    <s v="ORD10383"/>
    <x v="51"/>
    <x v="12"/>
    <x v="0"/>
    <x v="4"/>
    <x v="2"/>
    <x v="3"/>
    <n v="12"/>
    <n v="5314"/>
    <n v="0"/>
    <n v="63768"/>
    <n v="0"/>
    <s v="Duplicate Order ID"/>
  </r>
  <r>
    <s v="ORD10383"/>
    <x v="18"/>
    <x v="17"/>
    <x v="2"/>
    <x v="3"/>
    <x v="0"/>
    <x v="0"/>
    <n v="9"/>
    <n v="37400"/>
    <n v="15"/>
    <n v="286110"/>
    <n v="50490"/>
    <s v="Duplicate Order ID"/>
  </r>
  <r>
    <s v="ORD10385"/>
    <x v="6"/>
    <x v="12"/>
    <x v="3"/>
    <x v="1"/>
    <x v="0"/>
    <x v="19"/>
    <n v="9"/>
    <n v="47975"/>
    <n v="5"/>
    <n v="410186.25"/>
    <n v="21588.75"/>
    <s v="Unique Order ID"/>
  </r>
  <r>
    <s v="ORD10386"/>
    <x v="52"/>
    <x v="2"/>
    <x v="1"/>
    <x v="2"/>
    <x v="2"/>
    <x v="13"/>
    <n v="2"/>
    <n v="16621"/>
    <n v="0"/>
    <n v="33242"/>
    <n v="0"/>
    <s v="Unique Order ID"/>
  </r>
  <r>
    <s v="ORD10387"/>
    <x v="83"/>
    <x v="1"/>
    <x v="2"/>
    <x v="4"/>
    <x v="2"/>
    <x v="9"/>
    <n v="3"/>
    <n v="20898"/>
    <n v="15"/>
    <n v="53289.9"/>
    <n v="9404.1"/>
    <s v="Unique Order ID"/>
  </r>
  <r>
    <s v="ORD10388"/>
    <x v="50"/>
    <x v="17"/>
    <x v="3"/>
    <x v="1"/>
    <x v="2"/>
    <x v="10"/>
    <n v="2"/>
    <n v="58791"/>
    <n v="0"/>
    <n v="117582"/>
    <n v="0"/>
    <s v="Unique Order ID"/>
  </r>
  <r>
    <s v="ORD10389"/>
    <x v="8"/>
    <x v="2"/>
    <x v="1"/>
    <x v="1"/>
    <x v="2"/>
    <x v="9"/>
    <n v="4"/>
    <n v="51355"/>
    <n v="0"/>
    <n v="205420"/>
    <n v="0"/>
    <s v="Unique Order ID"/>
  </r>
  <r>
    <s v="ORD10390"/>
    <x v="43"/>
    <x v="19"/>
    <x v="0"/>
    <x v="1"/>
    <x v="2"/>
    <x v="10"/>
    <n v="10"/>
    <n v="6038"/>
    <n v="0"/>
    <n v="60380"/>
    <n v="0"/>
    <s v="Unique Order ID"/>
  </r>
  <r>
    <s v="ORD10391"/>
    <x v="69"/>
    <x v="14"/>
    <x v="2"/>
    <x v="1"/>
    <x v="1"/>
    <x v="20"/>
    <n v="6"/>
    <n v="1932"/>
    <n v="10"/>
    <n v="10432.799999999999"/>
    <n v="1159.2"/>
    <s v="Unique Order ID"/>
  </r>
  <r>
    <s v="ORD10392"/>
    <x v="79"/>
    <x v="2"/>
    <x v="1"/>
    <x v="0"/>
    <x v="0"/>
    <x v="19"/>
    <n v="5"/>
    <n v="41360"/>
    <n v="20"/>
    <n v="165440"/>
    <n v="41360"/>
    <s v="Unique Order ID"/>
  </r>
  <r>
    <s v="ORD10393"/>
    <x v="85"/>
    <x v="14"/>
    <x v="3"/>
    <x v="1"/>
    <x v="2"/>
    <x v="2"/>
    <n v="13"/>
    <n v="9059"/>
    <n v="0"/>
    <n v="117767"/>
    <n v="0"/>
    <s v="Unique Order ID"/>
  </r>
  <r>
    <s v="ORD10394"/>
    <x v="16"/>
    <x v="10"/>
    <x v="2"/>
    <x v="1"/>
    <x v="1"/>
    <x v="11"/>
    <n v="10"/>
    <n v="21852"/>
    <n v="20"/>
    <n v="174816"/>
    <n v="43704"/>
    <s v="Unique Order ID"/>
  </r>
  <r>
    <s v="ORD10395"/>
    <x v="54"/>
    <x v="19"/>
    <x v="2"/>
    <x v="2"/>
    <x v="1"/>
    <x v="6"/>
    <n v="1"/>
    <n v="29799"/>
    <n v="5"/>
    <n v="28309.05"/>
    <n v="1489.95"/>
    <s v="Unique Order ID"/>
  </r>
  <r>
    <s v="ORD10396"/>
    <x v="23"/>
    <x v="7"/>
    <x v="0"/>
    <x v="0"/>
    <x v="2"/>
    <x v="3"/>
    <n v="8"/>
    <n v="29104"/>
    <n v="0"/>
    <n v="232832"/>
    <n v="0"/>
    <s v="Unique Order ID"/>
  </r>
  <r>
    <s v="ORD10397"/>
    <x v="84"/>
    <x v="4"/>
    <x v="0"/>
    <x v="0"/>
    <x v="2"/>
    <x v="15"/>
    <n v="11"/>
    <n v="26714"/>
    <n v="15"/>
    <n v="249775.9"/>
    <n v="44078.1"/>
    <s v="Unique Order ID"/>
  </r>
  <r>
    <s v="ORD10398"/>
    <x v="31"/>
    <x v="17"/>
    <x v="2"/>
    <x v="4"/>
    <x v="2"/>
    <x v="13"/>
    <n v="12"/>
    <n v="29136"/>
    <n v="10"/>
    <n v="314668.79999999999"/>
    <n v="34963.200000000004"/>
    <s v="Unique Order ID"/>
  </r>
  <r>
    <s v="ORD10399"/>
    <x v="71"/>
    <x v="8"/>
    <x v="1"/>
    <x v="4"/>
    <x v="1"/>
    <x v="11"/>
    <n v="10"/>
    <n v="39883"/>
    <n v="10"/>
    <n v="358947"/>
    <n v="39883"/>
    <s v="Unique Order ID"/>
  </r>
  <r>
    <s v="ORD10400"/>
    <x v="35"/>
    <x v="12"/>
    <x v="1"/>
    <x v="0"/>
    <x v="2"/>
    <x v="3"/>
    <n v="3"/>
    <n v="54302"/>
    <n v="10"/>
    <n v="146615.4"/>
    <n v="16290.6"/>
    <s v="Unique Order ID"/>
  </r>
  <r>
    <s v="ORD10401"/>
    <x v="29"/>
    <x v="18"/>
    <x v="2"/>
    <x v="1"/>
    <x v="0"/>
    <x v="12"/>
    <n v="9"/>
    <n v="7568"/>
    <n v="15"/>
    <n v="57895.199999999997"/>
    <n v="10216.799999999999"/>
    <s v="Unique Order ID"/>
  </r>
  <r>
    <s v="ORD10402"/>
    <x v="34"/>
    <x v="6"/>
    <x v="3"/>
    <x v="3"/>
    <x v="1"/>
    <x v="5"/>
    <n v="1"/>
    <n v="24027"/>
    <n v="0"/>
    <n v="24027"/>
    <n v="0"/>
    <s v="Unique Order ID"/>
  </r>
  <r>
    <s v="ORD10403"/>
    <x v="4"/>
    <x v="1"/>
    <x v="1"/>
    <x v="1"/>
    <x v="2"/>
    <x v="9"/>
    <n v="10"/>
    <n v="52933"/>
    <n v="10"/>
    <n v="476397"/>
    <n v="52933"/>
    <s v="Unique Order ID"/>
  </r>
  <r>
    <s v="ORD10404"/>
    <x v="42"/>
    <x v="17"/>
    <x v="0"/>
    <x v="2"/>
    <x v="0"/>
    <x v="21"/>
    <n v="2"/>
    <n v="28228"/>
    <n v="10"/>
    <n v="50810.400000000001"/>
    <n v="5645.6"/>
    <s v="Unique Order ID"/>
  </r>
  <r>
    <s v="ORD10405"/>
    <x v="80"/>
    <x v="5"/>
    <x v="3"/>
    <x v="2"/>
    <x v="0"/>
    <x v="8"/>
    <n v="3"/>
    <n v="30076"/>
    <n v="10"/>
    <n v="81205.2"/>
    <n v="9022.8000000000011"/>
    <s v="Unique Order ID"/>
  </r>
  <r>
    <s v="ORD10406"/>
    <x v="57"/>
    <x v="18"/>
    <x v="3"/>
    <x v="4"/>
    <x v="1"/>
    <x v="22"/>
    <n v="4"/>
    <n v="52413"/>
    <n v="15"/>
    <n v="178204.2"/>
    <n v="31447.8"/>
    <s v="Unique Order ID"/>
  </r>
  <r>
    <s v="ORD10407"/>
    <x v="37"/>
    <x v="15"/>
    <x v="3"/>
    <x v="1"/>
    <x v="2"/>
    <x v="9"/>
    <n v="9"/>
    <n v="23277"/>
    <n v="5"/>
    <n v="199018.35"/>
    <n v="10474.650000000001"/>
    <s v="Unique Order ID"/>
  </r>
  <r>
    <s v="ORD10408"/>
    <x v="60"/>
    <x v="0"/>
    <x v="3"/>
    <x v="4"/>
    <x v="2"/>
    <x v="3"/>
    <n v="12"/>
    <n v="33327"/>
    <n v="0"/>
    <n v="399924"/>
    <n v="0"/>
    <s v="Duplicate Order ID"/>
  </r>
  <r>
    <s v="ORD10408"/>
    <x v="43"/>
    <x v="5"/>
    <x v="0"/>
    <x v="1"/>
    <x v="0"/>
    <x v="21"/>
    <n v="12"/>
    <n v="5598"/>
    <n v="0"/>
    <n v="67176"/>
    <n v="0"/>
    <s v="Duplicate Order ID"/>
  </r>
  <r>
    <s v="ORD10410"/>
    <x v="16"/>
    <x v="19"/>
    <x v="3"/>
    <x v="1"/>
    <x v="1"/>
    <x v="11"/>
    <n v="8"/>
    <n v="9890"/>
    <n v="15"/>
    <n v="67252"/>
    <n v="11868"/>
    <s v="Unique Order ID"/>
  </r>
  <r>
    <s v="ORD10411"/>
    <x v="22"/>
    <x v="18"/>
    <x v="2"/>
    <x v="2"/>
    <x v="0"/>
    <x v="8"/>
    <n v="5"/>
    <n v="14684"/>
    <n v="0"/>
    <n v="73420"/>
    <n v="0"/>
    <s v="Unique Order ID"/>
  </r>
  <r>
    <s v="ORD10412"/>
    <x v="86"/>
    <x v="11"/>
    <x v="2"/>
    <x v="0"/>
    <x v="2"/>
    <x v="13"/>
    <n v="9"/>
    <n v="44997"/>
    <n v="10"/>
    <n v="364475.7"/>
    <n v="40497.300000000003"/>
    <s v="Unique Order ID"/>
  </r>
  <r>
    <s v="ORD10413"/>
    <x v="5"/>
    <x v="13"/>
    <x v="3"/>
    <x v="0"/>
    <x v="2"/>
    <x v="13"/>
    <n v="12"/>
    <n v="27203"/>
    <n v="20"/>
    <n v="261148.79999999999"/>
    <n v="65287.200000000004"/>
    <s v="Unique Order ID"/>
  </r>
  <r>
    <s v="ORD10414"/>
    <x v="25"/>
    <x v="6"/>
    <x v="2"/>
    <x v="3"/>
    <x v="1"/>
    <x v="11"/>
    <n v="14"/>
    <n v="9648"/>
    <n v="20"/>
    <n v="108057.60000000001"/>
    <n v="27014.400000000001"/>
    <s v="Unique Order ID"/>
  </r>
  <r>
    <s v="ORD10415"/>
    <x v="82"/>
    <x v="16"/>
    <x v="2"/>
    <x v="0"/>
    <x v="1"/>
    <x v="1"/>
    <n v="4"/>
    <n v="59851"/>
    <n v="0"/>
    <n v="239404"/>
    <n v="0"/>
    <s v="Unique Order ID"/>
  </r>
  <r>
    <s v="ORD10416"/>
    <x v="81"/>
    <x v="9"/>
    <x v="1"/>
    <x v="3"/>
    <x v="1"/>
    <x v="22"/>
    <n v="3"/>
    <n v="59087"/>
    <n v="5"/>
    <n v="168397.95"/>
    <n v="8863.0500000000011"/>
    <s v="Unique Order ID"/>
  </r>
  <r>
    <s v="ORD10417"/>
    <x v="44"/>
    <x v="15"/>
    <x v="0"/>
    <x v="1"/>
    <x v="1"/>
    <x v="5"/>
    <n v="13"/>
    <n v="59707"/>
    <n v="0"/>
    <n v="776191"/>
    <n v="0"/>
    <s v="Unique Order ID"/>
  </r>
  <r>
    <s v="ORD10418"/>
    <x v="86"/>
    <x v="5"/>
    <x v="2"/>
    <x v="2"/>
    <x v="2"/>
    <x v="2"/>
    <n v="3"/>
    <n v="48838"/>
    <n v="5"/>
    <n v="139188.29999999999"/>
    <n v="7325.7000000000007"/>
    <s v="Unique Order ID"/>
  </r>
  <r>
    <s v="ORD10419"/>
    <x v="65"/>
    <x v="15"/>
    <x v="1"/>
    <x v="0"/>
    <x v="2"/>
    <x v="10"/>
    <n v="13"/>
    <n v="11841"/>
    <n v="0"/>
    <n v="153933"/>
    <n v="0"/>
    <s v="Unique Order ID"/>
  </r>
  <r>
    <s v="ORD10420"/>
    <x v="29"/>
    <x v="2"/>
    <x v="2"/>
    <x v="1"/>
    <x v="2"/>
    <x v="13"/>
    <n v="7"/>
    <n v="46740.950000000004"/>
    <n v="5"/>
    <n v="327186.65000000002"/>
    <n v="16359.332500000002"/>
    <s v="Unique Order ID"/>
  </r>
  <r>
    <s v="ORD10421"/>
    <x v="65"/>
    <x v="18"/>
    <x v="3"/>
    <x v="1"/>
    <x v="2"/>
    <x v="15"/>
    <n v="2"/>
    <n v="1375"/>
    <n v="15"/>
    <n v="2337.5"/>
    <n v="412.5"/>
    <s v="Unique Order ID"/>
  </r>
  <r>
    <s v="ORD10422"/>
    <x v="85"/>
    <x v="5"/>
    <x v="0"/>
    <x v="4"/>
    <x v="2"/>
    <x v="10"/>
    <n v="15"/>
    <n v="612"/>
    <n v="0"/>
    <n v="9180"/>
    <n v="0"/>
    <s v="Unique Order ID"/>
  </r>
  <r>
    <s v="ORD10423"/>
    <x v="80"/>
    <x v="13"/>
    <x v="1"/>
    <x v="0"/>
    <x v="1"/>
    <x v="4"/>
    <n v="1"/>
    <n v="39747"/>
    <n v="0"/>
    <n v="31797.599999999999"/>
    <n v="0"/>
    <s v="Unique Order ID"/>
  </r>
  <r>
    <s v="ORD10424"/>
    <x v="24"/>
    <x v="13"/>
    <x v="2"/>
    <x v="2"/>
    <x v="2"/>
    <x v="2"/>
    <n v="9"/>
    <n v="27584"/>
    <n v="0"/>
    <n v="248256"/>
    <n v="0"/>
    <s v="Unique Order ID"/>
  </r>
  <r>
    <s v="ORD10425"/>
    <x v="31"/>
    <x v="2"/>
    <x v="3"/>
    <x v="3"/>
    <x v="2"/>
    <x v="15"/>
    <n v="2"/>
    <n v="4439"/>
    <n v="15"/>
    <n v="7546.3"/>
    <n v="1331.7"/>
    <s v="Unique Order ID"/>
  </r>
  <r>
    <s v="ORD10426"/>
    <x v="84"/>
    <x v="15"/>
    <x v="1"/>
    <x v="4"/>
    <x v="2"/>
    <x v="9"/>
    <n v="13"/>
    <n v="59996"/>
    <n v="20"/>
    <n v="623958.4"/>
    <n v="155989.6"/>
    <s v="Unique Order ID"/>
  </r>
  <r>
    <s v="ORD10427"/>
    <x v="20"/>
    <x v="2"/>
    <x v="2"/>
    <x v="4"/>
    <x v="2"/>
    <x v="10"/>
    <n v="3"/>
    <n v="28298"/>
    <n v="15"/>
    <n v="72159.899999999994"/>
    <n v="12734.1"/>
    <s v="Unique Order ID"/>
  </r>
  <r>
    <s v="ORD10428"/>
    <x v="13"/>
    <x v="17"/>
    <x v="3"/>
    <x v="1"/>
    <x v="0"/>
    <x v="14"/>
    <n v="1"/>
    <n v="10311"/>
    <n v="0"/>
    <n v="9279.9"/>
    <n v="0"/>
    <s v="Unique Order ID"/>
  </r>
  <r>
    <s v="ORD10429"/>
    <x v="34"/>
    <x v="4"/>
    <x v="2"/>
    <x v="2"/>
    <x v="1"/>
    <x v="20"/>
    <n v="5"/>
    <n v="40868"/>
    <n v="0"/>
    <n v="204340"/>
    <n v="0"/>
    <s v="Unique Order ID"/>
  </r>
  <r>
    <s v="ORD10430"/>
    <x v="8"/>
    <x v="12"/>
    <x v="2"/>
    <x v="2"/>
    <x v="1"/>
    <x v="1"/>
    <n v="2"/>
    <n v="14797"/>
    <n v="15"/>
    <n v="25154.9"/>
    <n v="4439.0999999999995"/>
    <s v="Unique Order ID"/>
  </r>
  <r>
    <s v="ORD10431"/>
    <x v="22"/>
    <x v="0"/>
    <x v="1"/>
    <x v="0"/>
    <x v="2"/>
    <x v="9"/>
    <n v="13"/>
    <n v="52841"/>
    <n v="15"/>
    <n v="583893.05000000005"/>
    <n v="103039.95"/>
    <s v="Unique Order ID"/>
  </r>
  <r>
    <s v="ORD10432"/>
    <x v="26"/>
    <x v="9"/>
    <x v="0"/>
    <x v="4"/>
    <x v="2"/>
    <x v="13"/>
    <n v="7"/>
    <n v="48075"/>
    <n v="0"/>
    <n v="336525"/>
    <n v="0"/>
    <s v="Unique Order ID"/>
  </r>
  <r>
    <s v="ORD10433"/>
    <x v="71"/>
    <x v="0"/>
    <x v="1"/>
    <x v="3"/>
    <x v="2"/>
    <x v="3"/>
    <n v="13"/>
    <n v="49377"/>
    <n v="15"/>
    <n v="545615.85"/>
    <n v="96285.15"/>
    <s v="Unique Order ID"/>
  </r>
  <r>
    <s v="ORD10434"/>
    <x v="5"/>
    <x v="16"/>
    <x v="0"/>
    <x v="1"/>
    <x v="2"/>
    <x v="9"/>
    <n v="7"/>
    <n v="56335"/>
    <n v="10"/>
    <n v="354910.5"/>
    <n v="39434.5"/>
    <s v="Unique Order ID"/>
  </r>
  <r>
    <s v="ORD10435"/>
    <x v="74"/>
    <x v="1"/>
    <x v="3"/>
    <x v="1"/>
    <x v="0"/>
    <x v="18"/>
    <n v="2"/>
    <n v="4797"/>
    <n v="20"/>
    <n v="7675.2"/>
    <n v="1918.8000000000002"/>
    <s v="Unique Order ID"/>
  </r>
  <r>
    <s v="ORD10436"/>
    <x v="28"/>
    <x v="6"/>
    <x v="2"/>
    <x v="1"/>
    <x v="2"/>
    <x v="3"/>
    <n v="2"/>
    <n v="12542"/>
    <n v="0"/>
    <n v="25084"/>
    <n v="0"/>
    <s v="Unique Order ID"/>
  </r>
  <r>
    <s v="ORD10437"/>
    <x v="63"/>
    <x v="8"/>
    <x v="1"/>
    <x v="2"/>
    <x v="2"/>
    <x v="2"/>
    <n v="10"/>
    <n v="9662"/>
    <n v="15"/>
    <n v="82127"/>
    <n v="14493"/>
    <s v="Unique Order ID"/>
  </r>
  <r>
    <s v="ORD10438"/>
    <x v="75"/>
    <x v="19"/>
    <x v="2"/>
    <x v="3"/>
    <x v="0"/>
    <x v="8"/>
    <n v="9"/>
    <n v="25111"/>
    <n v="10"/>
    <n v="203399.1"/>
    <n v="22599.9"/>
    <s v="Unique Order ID"/>
  </r>
  <r>
    <s v="ORD10439"/>
    <x v="18"/>
    <x v="16"/>
    <x v="3"/>
    <x v="2"/>
    <x v="1"/>
    <x v="7"/>
    <n v="6"/>
    <n v="54766"/>
    <n v="0"/>
    <n v="328596"/>
    <n v="0"/>
    <s v="Unique Order ID"/>
  </r>
  <r>
    <s v="ORD10440"/>
    <x v="88"/>
    <x v="2"/>
    <x v="0"/>
    <x v="0"/>
    <x v="1"/>
    <x v="23"/>
    <n v="13"/>
    <n v="30718"/>
    <n v="0"/>
    <n v="399334"/>
    <n v="0"/>
    <s v="Unique Order ID"/>
  </r>
  <r>
    <s v="ORD10441"/>
    <x v="82"/>
    <x v="16"/>
    <x v="1"/>
    <x v="1"/>
    <x v="0"/>
    <x v="18"/>
    <n v="4"/>
    <n v="56886"/>
    <n v="5"/>
    <n v="227544"/>
    <n v="11377.2"/>
    <s v="Unique Order ID"/>
  </r>
  <r>
    <s v="ORD10442"/>
    <x v="33"/>
    <x v="8"/>
    <x v="3"/>
    <x v="3"/>
    <x v="2"/>
    <x v="3"/>
    <n v="13"/>
    <n v="16186"/>
    <n v="15"/>
    <n v="178855.3"/>
    <n v="31562.699999999997"/>
    <s v="Unique Order ID"/>
  </r>
  <r>
    <s v="ORD10443"/>
    <x v="86"/>
    <x v="19"/>
    <x v="3"/>
    <x v="3"/>
    <x v="0"/>
    <x v="14"/>
    <n v="3"/>
    <n v="11140"/>
    <n v="0"/>
    <n v="33420"/>
    <n v="0"/>
    <s v="Unique Order ID"/>
  </r>
  <r>
    <s v="ORD10444"/>
    <x v="57"/>
    <x v="5"/>
    <x v="2"/>
    <x v="0"/>
    <x v="1"/>
    <x v="4"/>
    <n v="5"/>
    <n v="37009"/>
    <n v="0"/>
    <n v="185045"/>
    <n v="0"/>
    <s v="Unique Order ID"/>
  </r>
  <r>
    <s v="ORD10445"/>
    <x v="85"/>
    <x v="8"/>
    <x v="3"/>
    <x v="2"/>
    <x v="0"/>
    <x v="12"/>
    <n v="7"/>
    <n v="36964"/>
    <n v="15"/>
    <n v="219935.8"/>
    <n v="38812.199999999997"/>
    <s v="Unique Order ID"/>
  </r>
  <r>
    <s v="ORD10446"/>
    <x v="31"/>
    <x v="17"/>
    <x v="0"/>
    <x v="2"/>
    <x v="2"/>
    <x v="15"/>
    <n v="11"/>
    <n v="22569"/>
    <n v="0"/>
    <n v="248259"/>
    <n v="0"/>
    <s v="Unique Order ID"/>
  </r>
  <r>
    <s v="ORD10447"/>
    <x v="88"/>
    <x v="17"/>
    <x v="3"/>
    <x v="0"/>
    <x v="0"/>
    <x v="12"/>
    <n v="4"/>
    <n v="975"/>
    <n v="0"/>
    <n v="3900"/>
    <n v="0"/>
    <s v="Unique Order ID"/>
  </r>
  <r>
    <s v="ORD10448"/>
    <x v="41"/>
    <x v="9"/>
    <x v="0"/>
    <x v="4"/>
    <x v="1"/>
    <x v="20"/>
    <n v="9"/>
    <n v="11134"/>
    <n v="15"/>
    <n v="85175.1"/>
    <n v="15030.9"/>
    <s v="Unique Order ID"/>
  </r>
  <r>
    <s v="ORD10449"/>
    <x v="51"/>
    <x v="11"/>
    <x v="2"/>
    <x v="2"/>
    <x v="2"/>
    <x v="15"/>
    <n v="15"/>
    <n v="31546"/>
    <n v="0"/>
    <n v="473190"/>
    <n v="0"/>
    <s v="Unique Order ID"/>
  </r>
  <r>
    <s v="ORD10450"/>
    <x v="71"/>
    <x v="9"/>
    <x v="3"/>
    <x v="4"/>
    <x v="0"/>
    <x v="8"/>
    <n v="1"/>
    <n v="34133"/>
    <n v="0"/>
    <n v="34133"/>
    <n v="0"/>
    <s v="Unique Order ID"/>
  </r>
  <r>
    <s v="ORD10451"/>
    <x v="90"/>
    <x v="15"/>
    <x v="1"/>
    <x v="4"/>
    <x v="1"/>
    <x v="5"/>
    <n v="6"/>
    <n v="26006"/>
    <n v="0"/>
    <n v="156036"/>
    <n v="0"/>
    <s v="Unique Order ID"/>
  </r>
  <r>
    <s v="ORD10452"/>
    <x v="51"/>
    <x v="0"/>
    <x v="1"/>
    <x v="2"/>
    <x v="0"/>
    <x v="21"/>
    <n v="14"/>
    <n v="23843"/>
    <n v="10"/>
    <n v="300421.8"/>
    <n v="33380.200000000004"/>
    <s v="Unique Order ID"/>
  </r>
  <r>
    <s v="ORD10453"/>
    <x v="13"/>
    <x v="18"/>
    <x v="1"/>
    <x v="2"/>
    <x v="0"/>
    <x v="21"/>
    <n v="15"/>
    <n v="11611"/>
    <n v="15"/>
    <n v="148040.25"/>
    <n v="26124.75"/>
    <s v="Unique Order ID"/>
  </r>
  <r>
    <s v="ORD10454"/>
    <x v="20"/>
    <x v="6"/>
    <x v="1"/>
    <x v="1"/>
    <x v="1"/>
    <x v="6"/>
    <n v="15"/>
    <n v="7190"/>
    <n v="20"/>
    <n v="86280"/>
    <n v="21570"/>
    <s v="Unique Order ID"/>
  </r>
  <r>
    <s v="ORD10455"/>
    <x v="70"/>
    <x v="10"/>
    <x v="1"/>
    <x v="3"/>
    <x v="1"/>
    <x v="4"/>
    <n v="9"/>
    <n v="31908"/>
    <n v="0"/>
    <n v="287172"/>
    <n v="0"/>
    <s v="Unique Order ID"/>
  </r>
  <r>
    <s v="ORD10456"/>
    <x v="63"/>
    <x v="7"/>
    <x v="2"/>
    <x v="2"/>
    <x v="0"/>
    <x v="17"/>
    <n v="4"/>
    <n v="11666"/>
    <n v="10"/>
    <n v="41997.599999999999"/>
    <n v="4666.4000000000005"/>
    <s v="Unique Order ID"/>
  </r>
  <r>
    <s v="ORD10457"/>
    <x v="60"/>
    <x v="10"/>
    <x v="0"/>
    <x v="0"/>
    <x v="0"/>
    <x v="17"/>
    <n v="9"/>
    <n v="6587"/>
    <n v="20"/>
    <n v="47426.400000000001"/>
    <n v="11856.6"/>
    <s v="Unique Order ID"/>
  </r>
  <r>
    <s v="ORD10458"/>
    <x v="6"/>
    <x v="17"/>
    <x v="3"/>
    <x v="0"/>
    <x v="2"/>
    <x v="3"/>
    <n v="6"/>
    <n v="21555"/>
    <n v="20"/>
    <n v="103464"/>
    <n v="25866"/>
    <s v="Unique Order ID"/>
  </r>
  <r>
    <s v="ORD10459"/>
    <x v="81"/>
    <x v="6"/>
    <x v="3"/>
    <x v="2"/>
    <x v="2"/>
    <x v="3"/>
    <n v="3"/>
    <n v="2993"/>
    <n v="15"/>
    <n v="7632.15"/>
    <n v="1346.85"/>
    <s v="Duplicate Order ID"/>
  </r>
  <r>
    <s v="ORD10459"/>
    <x v="33"/>
    <x v="1"/>
    <x v="2"/>
    <x v="2"/>
    <x v="1"/>
    <x v="16"/>
    <n v="5"/>
    <n v="48224"/>
    <n v="5"/>
    <n v="229064"/>
    <n v="12056"/>
    <s v="Duplicate Order ID"/>
  </r>
  <r>
    <s v="ORD10461"/>
    <x v="80"/>
    <x v="1"/>
    <x v="0"/>
    <x v="2"/>
    <x v="1"/>
    <x v="4"/>
    <n v="5"/>
    <n v="45514"/>
    <n v="5"/>
    <n v="216191.5"/>
    <n v="11378.5"/>
    <s v="Unique Order ID"/>
  </r>
  <r>
    <s v="ORD10462"/>
    <x v="67"/>
    <x v="19"/>
    <x v="1"/>
    <x v="2"/>
    <x v="2"/>
    <x v="6"/>
    <n v="10"/>
    <n v="55725"/>
    <n v="20"/>
    <n v="445800"/>
    <n v="111450"/>
    <s v="Unique Order ID"/>
  </r>
  <r>
    <s v="ORD10463"/>
    <x v="28"/>
    <x v="5"/>
    <x v="1"/>
    <x v="2"/>
    <x v="0"/>
    <x v="17"/>
    <n v="15"/>
    <n v="9875"/>
    <n v="20"/>
    <n v="118500"/>
    <n v="29625"/>
    <s v="Unique Order ID"/>
  </r>
  <r>
    <s v="ORD10464"/>
    <x v="62"/>
    <x v="19"/>
    <x v="3"/>
    <x v="2"/>
    <x v="0"/>
    <x v="18"/>
    <n v="1"/>
    <n v="40303"/>
    <n v="20"/>
    <n v="32242.400000000001"/>
    <n v="8060.6"/>
    <s v="Unique Order ID"/>
  </r>
  <r>
    <s v="ORD10465"/>
    <x v="51"/>
    <x v="18"/>
    <x v="3"/>
    <x v="1"/>
    <x v="1"/>
    <x v="5"/>
    <n v="10"/>
    <n v="22839"/>
    <n v="15"/>
    <n v="194131.5"/>
    <n v="34258.5"/>
    <s v="Unique Order ID"/>
  </r>
  <r>
    <s v="ORD10466"/>
    <x v="10"/>
    <x v="5"/>
    <x v="0"/>
    <x v="0"/>
    <x v="2"/>
    <x v="13"/>
    <n v="15"/>
    <n v="3542"/>
    <n v="5"/>
    <n v="50473.5"/>
    <n v="2656.5"/>
    <s v="Unique Order ID"/>
  </r>
  <r>
    <s v="ORD10467"/>
    <x v="25"/>
    <x v="13"/>
    <x v="2"/>
    <x v="4"/>
    <x v="0"/>
    <x v="14"/>
    <n v="6"/>
    <n v="15727"/>
    <n v="10"/>
    <n v="84925.8"/>
    <n v="9436.2000000000007"/>
    <s v="Unique Order ID"/>
  </r>
  <r>
    <s v="ORD10468"/>
    <x v="69"/>
    <x v="14"/>
    <x v="2"/>
    <x v="0"/>
    <x v="0"/>
    <x v="17"/>
    <n v="12"/>
    <n v="24915"/>
    <n v="0"/>
    <n v="298980"/>
    <n v="0"/>
    <s v="Unique Order ID"/>
  </r>
  <r>
    <s v="ORD10469"/>
    <x v="56"/>
    <x v="8"/>
    <x v="2"/>
    <x v="2"/>
    <x v="2"/>
    <x v="15"/>
    <n v="7"/>
    <n v="25787"/>
    <n v="0"/>
    <n v="180509"/>
    <n v="0"/>
    <s v="Unique Order ID"/>
  </r>
  <r>
    <s v="ORD10470"/>
    <x v="41"/>
    <x v="16"/>
    <x v="2"/>
    <x v="1"/>
    <x v="1"/>
    <x v="4"/>
    <n v="11"/>
    <n v="12348"/>
    <n v="0"/>
    <n v="135828"/>
    <n v="0"/>
    <s v="Unique Order ID"/>
  </r>
  <r>
    <s v="ORD10471"/>
    <x v="83"/>
    <x v="5"/>
    <x v="0"/>
    <x v="4"/>
    <x v="1"/>
    <x v="6"/>
    <n v="14"/>
    <n v="9892"/>
    <n v="0"/>
    <n v="138488"/>
    <n v="0"/>
    <s v="Unique Order ID"/>
  </r>
  <r>
    <s v="ORD10472"/>
    <x v="61"/>
    <x v="9"/>
    <x v="1"/>
    <x v="1"/>
    <x v="2"/>
    <x v="13"/>
    <n v="11"/>
    <n v="25134"/>
    <n v="20"/>
    <n v="221179.2"/>
    <n v="55294.8"/>
    <s v="Unique Order ID"/>
  </r>
  <r>
    <s v="ORD10473"/>
    <x v="31"/>
    <x v="16"/>
    <x v="1"/>
    <x v="1"/>
    <x v="0"/>
    <x v="21"/>
    <n v="12"/>
    <n v="48239"/>
    <n v="0"/>
    <n v="578868"/>
    <n v="0"/>
    <s v="Unique Order ID"/>
  </r>
  <r>
    <s v="ORD10474"/>
    <x v="8"/>
    <x v="15"/>
    <x v="2"/>
    <x v="4"/>
    <x v="2"/>
    <x v="13"/>
    <n v="3"/>
    <n v="27288"/>
    <n v="0"/>
    <n v="81864"/>
    <n v="0"/>
    <s v="Unique Order ID"/>
  </r>
  <r>
    <s v="ORD10475"/>
    <x v="79"/>
    <x v="13"/>
    <x v="2"/>
    <x v="0"/>
    <x v="1"/>
    <x v="7"/>
    <n v="3"/>
    <n v="46668"/>
    <n v="5"/>
    <n v="133003.79999999999"/>
    <n v="7000.2000000000007"/>
    <s v="Unique Order ID"/>
  </r>
  <r>
    <s v="ORD10476"/>
    <x v="35"/>
    <x v="3"/>
    <x v="3"/>
    <x v="4"/>
    <x v="2"/>
    <x v="2"/>
    <n v="2"/>
    <n v="5860"/>
    <n v="20"/>
    <n v="9376"/>
    <n v="2344"/>
    <s v="Unique Order ID"/>
  </r>
  <r>
    <s v="ORD10477"/>
    <x v="71"/>
    <x v="7"/>
    <x v="0"/>
    <x v="0"/>
    <x v="2"/>
    <x v="2"/>
    <n v="14"/>
    <n v="40195"/>
    <n v="0"/>
    <n v="562730"/>
    <n v="0"/>
    <s v="Unique Order ID"/>
  </r>
  <r>
    <s v="ORD10478"/>
    <x v="41"/>
    <x v="12"/>
    <x v="3"/>
    <x v="3"/>
    <x v="2"/>
    <x v="15"/>
    <n v="13"/>
    <n v="41262"/>
    <n v="20"/>
    <n v="429124.8"/>
    <n v="107281.20000000001"/>
    <s v="Unique Order ID"/>
  </r>
  <r>
    <s v="ORD10479"/>
    <x v="75"/>
    <x v="7"/>
    <x v="3"/>
    <x v="1"/>
    <x v="1"/>
    <x v="4"/>
    <n v="8"/>
    <n v="16849"/>
    <n v="0"/>
    <n v="134792"/>
    <n v="0"/>
    <s v="Unique Order ID"/>
  </r>
  <r>
    <s v="ORD10480"/>
    <x v="20"/>
    <x v="3"/>
    <x v="1"/>
    <x v="0"/>
    <x v="0"/>
    <x v="17"/>
    <n v="10"/>
    <n v="25651"/>
    <n v="10"/>
    <n v="230859"/>
    <n v="25651"/>
    <s v="Unique Order ID"/>
  </r>
  <r>
    <s v="ORD10481"/>
    <x v="80"/>
    <x v="16"/>
    <x v="1"/>
    <x v="4"/>
    <x v="2"/>
    <x v="10"/>
    <n v="9"/>
    <n v="36422"/>
    <n v="15"/>
    <n v="278628.3"/>
    <n v="49169.7"/>
    <s v="Unique Order ID"/>
  </r>
  <r>
    <s v="ORD10482"/>
    <x v="3"/>
    <x v="17"/>
    <x v="3"/>
    <x v="4"/>
    <x v="0"/>
    <x v="14"/>
    <n v="1"/>
    <n v="38687"/>
    <n v="0"/>
    <n v="38687"/>
    <n v="0"/>
    <s v="Unique Order ID"/>
  </r>
  <r>
    <s v="ORD10483"/>
    <x v="17"/>
    <x v="10"/>
    <x v="1"/>
    <x v="2"/>
    <x v="1"/>
    <x v="16"/>
    <n v="8"/>
    <n v="9095"/>
    <n v="20"/>
    <n v="58208"/>
    <n v="14552"/>
    <s v="Unique Order ID"/>
  </r>
  <r>
    <s v="ORD10484"/>
    <x v="72"/>
    <x v="4"/>
    <x v="3"/>
    <x v="4"/>
    <x v="0"/>
    <x v="21"/>
    <n v="9"/>
    <n v="34377"/>
    <n v="0"/>
    <n v="309393"/>
    <n v="0"/>
    <s v="Unique Order ID"/>
  </r>
  <r>
    <s v="ORD10485"/>
    <x v="56"/>
    <x v="6"/>
    <x v="1"/>
    <x v="1"/>
    <x v="0"/>
    <x v="19"/>
    <n v="3"/>
    <n v="48543"/>
    <n v="5"/>
    <n v="138347.54999999999"/>
    <n v="7281.4500000000007"/>
    <s v="Unique Order ID"/>
  </r>
  <r>
    <s v="ORD10486"/>
    <x v="11"/>
    <x v="0"/>
    <x v="0"/>
    <x v="1"/>
    <x v="2"/>
    <x v="15"/>
    <n v="12"/>
    <n v="34036"/>
    <n v="20"/>
    <n v="326745.59999999998"/>
    <n v="81686.400000000009"/>
    <s v="Unique Order ID"/>
  </r>
  <r>
    <s v="ORD10487"/>
    <x v="56"/>
    <x v="2"/>
    <x v="3"/>
    <x v="4"/>
    <x v="2"/>
    <x v="3"/>
    <n v="5"/>
    <n v="58399"/>
    <n v="15"/>
    <n v="248195.75"/>
    <n v="43799.25"/>
    <s v="Unique Order ID"/>
  </r>
  <r>
    <s v="ORD10488"/>
    <x v="68"/>
    <x v="8"/>
    <x v="0"/>
    <x v="4"/>
    <x v="2"/>
    <x v="3"/>
    <n v="1"/>
    <n v="5305"/>
    <n v="0"/>
    <n v="5305"/>
    <n v="0"/>
    <s v="Unique Order ID"/>
  </r>
  <r>
    <s v="ORD10489"/>
    <x v="50"/>
    <x v="5"/>
    <x v="3"/>
    <x v="1"/>
    <x v="0"/>
    <x v="12"/>
    <n v="7"/>
    <n v="25489"/>
    <n v="0"/>
    <n v="178423"/>
    <n v="0"/>
    <s v="Unique Order ID"/>
  </r>
  <r>
    <s v="ORD10490"/>
    <x v="9"/>
    <x v="14"/>
    <x v="0"/>
    <x v="4"/>
    <x v="1"/>
    <x v="6"/>
    <n v="4"/>
    <n v="34614"/>
    <n v="0"/>
    <n v="138456"/>
    <n v="0"/>
    <s v="Unique Order ID"/>
  </r>
  <r>
    <s v="ORD10491"/>
    <x v="37"/>
    <x v="10"/>
    <x v="2"/>
    <x v="1"/>
    <x v="0"/>
    <x v="8"/>
    <n v="10"/>
    <n v="15294"/>
    <n v="0"/>
    <n v="152940"/>
    <n v="0"/>
    <s v="Unique Order ID"/>
  </r>
  <r>
    <s v="ORD10492"/>
    <x v="20"/>
    <x v="1"/>
    <x v="3"/>
    <x v="4"/>
    <x v="0"/>
    <x v="14"/>
    <n v="1"/>
    <n v="3101"/>
    <n v="0"/>
    <n v="3101"/>
    <n v="0"/>
    <s v="Unique Order ID"/>
  </r>
  <r>
    <s v="ORD10493"/>
    <x v="39"/>
    <x v="7"/>
    <x v="3"/>
    <x v="4"/>
    <x v="0"/>
    <x v="17"/>
    <n v="8"/>
    <n v="24750"/>
    <n v="20"/>
    <n v="158400"/>
    <n v="39600"/>
    <s v="Unique Order ID"/>
  </r>
  <r>
    <s v="ORD10494"/>
    <x v="86"/>
    <x v="16"/>
    <x v="1"/>
    <x v="1"/>
    <x v="2"/>
    <x v="9"/>
    <n v="1"/>
    <n v="19498"/>
    <n v="15"/>
    <n v="16573.3"/>
    <n v="2924.7"/>
    <s v="Unique Order ID"/>
  </r>
  <r>
    <s v="ORD10495"/>
    <x v="9"/>
    <x v="16"/>
    <x v="2"/>
    <x v="2"/>
    <x v="0"/>
    <x v="19"/>
    <n v="13"/>
    <n v="48328"/>
    <n v="10"/>
    <n v="565437.6"/>
    <n v="62826.400000000001"/>
    <s v="Unique Order ID"/>
  </r>
  <r>
    <s v="ORD10496"/>
    <x v="31"/>
    <x v="8"/>
    <x v="1"/>
    <x v="3"/>
    <x v="0"/>
    <x v="2"/>
    <n v="1"/>
    <n v="15995"/>
    <n v="5"/>
    <n v="15195.25"/>
    <n v="799.75"/>
    <s v="Unique Order ID"/>
  </r>
  <r>
    <s v="ORD10497"/>
    <x v="60"/>
    <x v="9"/>
    <x v="0"/>
    <x v="4"/>
    <x v="2"/>
    <x v="13"/>
    <n v="4"/>
    <n v="42185"/>
    <n v="0"/>
    <n v="168740"/>
    <n v="0"/>
    <s v="Unique Order ID"/>
  </r>
  <r>
    <s v="ORD10498"/>
    <x v="88"/>
    <x v="3"/>
    <x v="3"/>
    <x v="0"/>
    <x v="2"/>
    <x v="2"/>
    <n v="11"/>
    <n v="28309"/>
    <n v="10"/>
    <n v="280259.09999999998"/>
    <n v="31139.9"/>
    <s v="Unique Order ID"/>
  </r>
  <r>
    <s v="ORD10499"/>
    <x v="36"/>
    <x v="4"/>
    <x v="3"/>
    <x v="2"/>
    <x v="1"/>
    <x v="4"/>
    <n v="3"/>
    <n v="1427"/>
    <n v="0"/>
    <n v="4281"/>
    <n v="0"/>
    <s v="Unique Order ID"/>
  </r>
  <r>
    <s v="ORD10500"/>
    <x v="63"/>
    <x v="5"/>
    <x v="1"/>
    <x v="2"/>
    <x v="2"/>
    <x v="15"/>
    <n v="12"/>
    <n v="37361"/>
    <n v="0"/>
    <n v="448332"/>
    <n v="0"/>
    <s v="Unique Order ID"/>
  </r>
  <r>
    <s v="ORD10501"/>
    <x v="6"/>
    <x v="5"/>
    <x v="1"/>
    <x v="1"/>
    <x v="2"/>
    <x v="9"/>
    <n v="14"/>
    <n v="26584"/>
    <n v="10"/>
    <n v="334958.40000000002"/>
    <n v="37217.599999999999"/>
    <s v="Unique Order ID"/>
  </r>
  <r>
    <s v="ORD10502"/>
    <x v="10"/>
    <x v="16"/>
    <x v="0"/>
    <x v="1"/>
    <x v="1"/>
    <x v="22"/>
    <n v="14"/>
    <n v="11572"/>
    <n v="20"/>
    <n v="129606.39999999999"/>
    <n v="32401.600000000002"/>
    <s v="Unique Order ID"/>
  </r>
  <r>
    <s v="ORD10503"/>
    <x v="32"/>
    <x v="18"/>
    <x v="3"/>
    <x v="3"/>
    <x v="0"/>
    <x v="21"/>
    <n v="13"/>
    <n v="57738"/>
    <n v="10"/>
    <n v="675534.6"/>
    <n v="75059.400000000009"/>
    <s v="Unique Order ID"/>
  </r>
  <r>
    <s v="ORD10504"/>
    <x v="56"/>
    <x v="1"/>
    <x v="0"/>
    <x v="1"/>
    <x v="1"/>
    <x v="16"/>
    <n v="13"/>
    <n v="52444"/>
    <n v="5"/>
    <n v="647683.4"/>
    <n v="34088.6"/>
    <s v="Unique Order ID"/>
  </r>
  <r>
    <s v="ORD10505"/>
    <x v="34"/>
    <x v="2"/>
    <x v="2"/>
    <x v="4"/>
    <x v="2"/>
    <x v="10"/>
    <n v="5"/>
    <n v="59422"/>
    <n v="0"/>
    <n v="297110"/>
    <n v="0"/>
    <s v="Unique Order ID"/>
  </r>
  <r>
    <s v="ORD10506"/>
    <x v="4"/>
    <x v="11"/>
    <x v="2"/>
    <x v="1"/>
    <x v="2"/>
    <x v="2"/>
    <n v="3"/>
    <n v="43065.25"/>
    <n v="15"/>
    <n v="129195.75"/>
    <n v="19379.362499999999"/>
    <s v="Unique Order ID"/>
  </r>
  <r>
    <s v="ORD10507"/>
    <x v="30"/>
    <x v="4"/>
    <x v="3"/>
    <x v="3"/>
    <x v="0"/>
    <x v="17"/>
    <n v="7"/>
    <n v="57392"/>
    <n v="15"/>
    <n v="341482.4"/>
    <n v="60261.599999999999"/>
    <s v="Unique Order ID"/>
  </r>
  <r>
    <s v="ORD10508"/>
    <x v="30"/>
    <x v="0"/>
    <x v="3"/>
    <x v="1"/>
    <x v="2"/>
    <x v="15"/>
    <n v="9"/>
    <n v="26223"/>
    <n v="0"/>
    <n v="236007"/>
    <n v="0"/>
    <s v="Unique Order ID"/>
  </r>
  <r>
    <s v="ORD10509"/>
    <x v="51"/>
    <x v="2"/>
    <x v="3"/>
    <x v="3"/>
    <x v="2"/>
    <x v="9"/>
    <n v="3"/>
    <n v="52513"/>
    <n v="15"/>
    <n v="133908.15"/>
    <n v="23630.85"/>
    <s v="Unique Order ID"/>
  </r>
  <r>
    <s v="ORD10510"/>
    <x v="12"/>
    <x v="10"/>
    <x v="0"/>
    <x v="2"/>
    <x v="2"/>
    <x v="3"/>
    <n v="6"/>
    <n v="22584"/>
    <n v="20"/>
    <n v="135504"/>
    <n v="27100.800000000003"/>
    <s v="Unique Order ID"/>
  </r>
  <r>
    <s v="ORD10511"/>
    <x v="46"/>
    <x v="18"/>
    <x v="0"/>
    <x v="0"/>
    <x v="0"/>
    <x v="21"/>
    <n v="4"/>
    <n v="13801"/>
    <n v="20"/>
    <n v="44163.199999999997"/>
    <n v="11040.800000000001"/>
    <s v="Unique Order ID"/>
  </r>
  <r>
    <s v="ORD10512"/>
    <x v="34"/>
    <x v="12"/>
    <x v="2"/>
    <x v="1"/>
    <x v="2"/>
    <x v="3"/>
    <n v="5"/>
    <n v="55882"/>
    <n v="0"/>
    <n v="279410"/>
    <n v="0"/>
    <s v="Unique Order ID"/>
  </r>
  <r>
    <s v="ORD10513"/>
    <x v="82"/>
    <x v="4"/>
    <x v="1"/>
    <x v="2"/>
    <x v="1"/>
    <x v="4"/>
    <n v="5"/>
    <n v="20133"/>
    <n v="10"/>
    <n v="90598.5"/>
    <n v="10066.5"/>
    <s v="Unique Order ID"/>
  </r>
  <r>
    <s v="ORD10514"/>
    <x v="74"/>
    <x v="2"/>
    <x v="3"/>
    <x v="1"/>
    <x v="2"/>
    <x v="2"/>
    <n v="2"/>
    <n v="9546"/>
    <n v="20"/>
    <n v="15273.6"/>
    <n v="3818.4"/>
    <s v="Unique Order ID"/>
  </r>
  <r>
    <s v="ORD10515"/>
    <x v="59"/>
    <x v="18"/>
    <x v="0"/>
    <x v="2"/>
    <x v="1"/>
    <x v="6"/>
    <n v="13"/>
    <n v="48807"/>
    <n v="10"/>
    <n v="571041.9"/>
    <n v="63449.100000000006"/>
    <s v="Unique Order ID"/>
  </r>
  <r>
    <s v="ORD10516"/>
    <x v="31"/>
    <x v="8"/>
    <x v="0"/>
    <x v="3"/>
    <x v="1"/>
    <x v="11"/>
    <n v="11"/>
    <n v="32920"/>
    <n v="15"/>
    <n v="307802"/>
    <n v="54318"/>
    <s v="Unique Order ID"/>
  </r>
  <r>
    <s v="ORD10517"/>
    <x v="21"/>
    <x v="3"/>
    <x v="1"/>
    <x v="4"/>
    <x v="1"/>
    <x v="23"/>
    <n v="8"/>
    <n v="19715"/>
    <n v="10"/>
    <n v="141948"/>
    <n v="15772"/>
    <s v="Unique Order ID"/>
  </r>
  <r>
    <s v="ORD10518"/>
    <x v="42"/>
    <x v="11"/>
    <x v="3"/>
    <x v="1"/>
    <x v="2"/>
    <x v="3"/>
    <n v="15"/>
    <n v="7252"/>
    <n v="5"/>
    <n v="103341"/>
    <n v="5439"/>
    <s v="Unique Order ID"/>
  </r>
  <r>
    <s v="ORD10519"/>
    <x v="31"/>
    <x v="15"/>
    <x v="3"/>
    <x v="0"/>
    <x v="2"/>
    <x v="10"/>
    <n v="7"/>
    <n v="36544"/>
    <n v="20"/>
    <n v="204646.39999999999"/>
    <n v="51161.600000000006"/>
    <s v="Unique Order ID"/>
  </r>
  <r>
    <s v="ORD10520"/>
    <x v="7"/>
    <x v="7"/>
    <x v="2"/>
    <x v="2"/>
    <x v="2"/>
    <x v="15"/>
    <n v="15"/>
    <n v="49497"/>
    <n v="10"/>
    <n v="668209.5"/>
    <n v="74245.5"/>
    <s v="Unique Order ID"/>
  </r>
  <r>
    <s v="ORD10521"/>
    <x v="84"/>
    <x v="4"/>
    <x v="1"/>
    <x v="2"/>
    <x v="0"/>
    <x v="14"/>
    <n v="8"/>
    <n v="43754"/>
    <n v="10"/>
    <n v="315028.8"/>
    <n v="35003.200000000004"/>
    <s v="Unique Order ID"/>
  </r>
  <r>
    <s v="ORD10522"/>
    <x v="21"/>
    <x v="6"/>
    <x v="2"/>
    <x v="1"/>
    <x v="0"/>
    <x v="0"/>
    <n v="2"/>
    <n v="49192"/>
    <n v="0"/>
    <n v="98384"/>
    <n v="0"/>
    <s v="Unique Order ID"/>
  </r>
  <r>
    <s v="ORD10523"/>
    <x v="76"/>
    <x v="17"/>
    <x v="0"/>
    <x v="0"/>
    <x v="2"/>
    <x v="2"/>
    <n v="2"/>
    <n v="51183"/>
    <n v="0"/>
    <n v="102366"/>
    <n v="0"/>
    <s v="Unique Order ID"/>
  </r>
  <r>
    <s v="ORD10524"/>
    <x v="42"/>
    <x v="8"/>
    <x v="0"/>
    <x v="0"/>
    <x v="0"/>
    <x v="12"/>
    <n v="7"/>
    <n v="39694"/>
    <n v="5"/>
    <n v="263965.09999999998"/>
    <n v="13892.900000000001"/>
    <s v="Unique Order ID"/>
  </r>
  <r>
    <s v="ORD10525"/>
    <x v="59"/>
    <x v="5"/>
    <x v="3"/>
    <x v="3"/>
    <x v="0"/>
    <x v="12"/>
    <n v="5"/>
    <n v="13775"/>
    <n v="0"/>
    <n v="68875"/>
    <n v="0"/>
    <s v="Unique Order ID"/>
  </r>
  <r>
    <s v="ORD10526"/>
    <x v="78"/>
    <x v="2"/>
    <x v="2"/>
    <x v="2"/>
    <x v="1"/>
    <x v="16"/>
    <n v="2"/>
    <n v="23661"/>
    <n v="0"/>
    <n v="47322"/>
    <n v="0"/>
    <s v="Unique Order ID"/>
  </r>
  <r>
    <s v="ORD10527"/>
    <x v="80"/>
    <x v="16"/>
    <x v="2"/>
    <x v="2"/>
    <x v="0"/>
    <x v="14"/>
    <n v="3"/>
    <n v="29354"/>
    <n v="5"/>
    <n v="83658.899999999994"/>
    <n v="4403.1000000000004"/>
    <s v="Unique Order ID"/>
  </r>
  <r>
    <s v="ORD10528"/>
    <x v="48"/>
    <x v="8"/>
    <x v="1"/>
    <x v="0"/>
    <x v="2"/>
    <x v="15"/>
    <n v="8"/>
    <n v="19804"/>
    <n v="5"/>
    <n v="150510.39999999999"/>
    <n v="7921.6"/>
    <s v="Unique Order ID"/>
  </r>
  <r>
    <s v="ORD10529"/>
    <x v="6"/>
    <x v="19"/>
    <x v="1"/>
    <x v="2"/>
    <x v="0"/>
    <x v="21"/>
    <n v="6"/>
    <n v="38094"/>
    <n v="5"/>
    <n v="217135.8"/>
    <n v="11428.2"/>
    <s v="Unique Order ID"/>
  </r>
  <r>
    <s v="ORD10530"/>
    <x v="41"/>
    <x v="16"/>
    <x v="2"/>
    <x v="3"/>
    <x v="0"/>
    <x v="18"/>
    <n v="3"/>
    <n v="9801"/>
    <n v="5"/>
    <n v="27932.85"/>
    <n v="1470.15"/>
    <s v="Unique Order ID"/>
  </r>
  <r>
    <s v="ORD10531"/>
    <x v="17"/>
    <x v="10"/>
    <x v="0"/>
    <x v="4"/>
    <x v="0"/>
    <x v="18"/>
    <n v="10"/>
    <n v="23067"/>
    <n v="20"/>
    <n v="184536"/>
    <n v="46134"/>
    <s v="Unique Order ID"/>
  </r>
  <r>
    <s v="ORD10532"/>
    <x v="11"/>
    <x v="14"/>
    <x v="1"/>
    <x v="1"/>
    <x v="2"/>
    <x v="10"/>
    <n v="11"/>
    <n v="15228"/>
    <n v="20"/>
    <n v="134006.39999999999"/>
    <n v="33501.599999999999"/>
    <s v="Unique Order ID"/>
  </r>
  <r>
    <s v="ORD10533"/>
    <x v="72"/>
    <x v="4"/>
    <x v="1"/>
    <x v="2"/>
    <x v="2"/>
    <x v="10"/>
    <n v="12"/>
    <n v="23723"/>
    <n v="0"/>
    <n v="284676"/>
    <n v="0"/>
    <s v="Unique Order ID"/>
  </r>
  <r>
    <s v="ORD10534"/>
    <x v="79"/>
    <x v="12"/>
    <x v="1"/>
    <x v="0"/>
    <x v="2"/>
    <x v="13"/>
    <n v="13"/>
    <n v="44636"/>
    <n v="20"/>
    <n v="464214.4"/>
    <n v="116053.6"/>
    <s v="Unique Order ID"/>
  </r>
  <r>
    <s v="ORD10535"/>
    <x v="29"/>
    <x v="10"/>
    <x v="3"/>
    <x v="2"/>
    <x v="0"/>
    <x v="17"/>
    <n v="4"/>
    <n v="34690"/>
    <n v="10"/>
    <n v="124884"/>
    <n v="13876"/>
    <s v="Unique Order ID"/>
  </r>
  <r>
    <s v="ORD10536"/>
    <x v="9"/>
    <x v="5"/>
    <x v="1"/>
    <x v="4"/>
    <x v="0"/>
    <x v="12"/>
    <n v="12"/>
    <n v="8302"/>
    <n v="10"/>
    <n v="89661.6"/>
    <n v="9962.4000000000015"/>
    <s v="Unique Order ID"/>
  </r>
  <r>
    <s v="ORD10537"/>
    <x v="42"/>
    <x v="9"/>
    <x v="3"/>
    <x v="0"/>
    <x v="2"/>
    <x v="9"/>
    <n v="15"/>
    <n v="30883"/>
    <n v="15"/>
    <n v="393758.25"/>
    <n v="69486.75"/>
    <s v="Unique Order ID"/>
  </r>
  <r>
    <s v="ORD10538"/>
    <x v="52"/>
    <x v="2"/>
    <x v="3"/>
    <x v="3"/>
    <x v="2"/>
    <x v="10"/>
    <n v="4"/>
    <n v="36939"/>
    <n v="0"/>
    <n v="147756"/>
    <n v="0"/>
    <s v="Unique Order ID"/>
  </r>
  <r>
    <s v="ORD10539"/>
    <x v="62"/>
    <x v="17"/>
    <x v="1"/>
    <x v="2"/>
    <x v="1"/>
    <x v="22"/>
    <n v="3"/>
    <n v="6985"/>
    <n v="10"/>
    <n v="18859.5"/>
    <n v="2095.5"/>
    <s v="Unique Order ID"/>
  </r>
  <r>
    <s v="ORD10540"/>
    <x v="40"/>
    <x v="2"/>
    <x v="1"/>
    <x v="4"/>
    <x v="2"/>
    <x v="3"/>
    <n v="7"/>
    <n v="40163"/>
    <n v="20"/>
    <n v="224912.8"/>
    <n v="56228.200000000004"/>
    <s v="Unique Order ID"/>
  </r>
  <r>
    <s v="ORD10541"/>
    <x v="50"/>
    <x v="16"/>
    <x v="1"/>
    <x v="0"/>
    <x v="1"/>
    <x v="16"/>
    <n v="8"/>
    <n v="34950"/>
    <n v="5"/>
    <n v="265620"/>
    <n v="13980"/>
    <s v="Unique Order ID"/>
  </r>
  <r>
    <s v="ORD10542"/>
    <x v="90"/>
    <x v="4"/>
    <x v="3"/>
    <x v="2"/>
    <x v="2"/>
    <x v="10"/>
    <n v="12"/>
    <n v="41820"/>
    <n v="0"/>
    <n v="501840"/>
    <n v="0"/>
    <s v="Unique Order ID"/>
  </r>
  <r>
    <s v="ORD10543"/>
    <x v="81"/>
    <x v="3"/>
    <x v="0"/>
    <x v="2"/>
    <x v="1"/>
    <x v="20"/>
    <n v="4"/>
    <n v="12098"/>
    <n v="10"/>
    <n v="43552.800000000003"/>
    <n v="4839.2"/>
    <s v="Unique Order ID"/>
  </r>
  <r>
    <s v="ORD10544"/>
    <x v="81"/>
    <x v="10"/>
    <x v="2"/>
    <x v="2"/>
    <x v="1"/>
    <x v="4"/>
    <n v="2"/>
    <n v="18303"/>
    <n v="0"/>
    <n v="36606"/>
    <n v="0"/>
    <s v="Unique Order ID"/>
  </r>
  <r>
    <s v="ORD10545"/>
    <x v="2"/>
    <x v="8"/>
    <x v="1"/>
    <x v="1"/>
    <x v="2"/>
    <x v="3"/>
    <n v="3"/>
    <n v="43623"/>
    <n v="20"/>
    <n v="104695.2"/>
    <n v="26173.800000000003"/>
    <s v="Duplicate Order ID"/>
  </r>
  <r>
    <s v="ORD10545"/>
    <x v="24"/>
    <x v="12"/>
    <x v="1"/>
    <x v="4"/>
    <x v="1"/>
    <x v="16"/>
    <n v="4"/>
    <n v="37459"/>
    <n v="20"/>
    <n v="119868.8"/>
    <n v="29967.200000000001"/>
    <s v="Duplicate Order ID"/>
  </r>
  <r>
    <s v="ORD10547"/>
    <x v="13"/>
    <x v="14"/>
    <x v="3"/>
    <x v="0"/>
    <x v="1"/>
    <x v="11"/>
    <n v="12"/>
    <n v="42701"/>
    <n v="0"/>
    <n v="512412"/>
    <n v="0"/>
    <s v="Unique Order ID"/>
  </r>
  <r>
    <s v="ORD10548"/>
    <x v="77"/>
    <x v="19"/>
    <x v="2"/>
    <x v="0"/>
    <x v="2"/>
    <x v="3"/>
    <n v="11"/>
    <n v="26372"/>
    <n v="10"/>
    <n v="261082.8"/>
    <n v="29009.200000000001"/>
    <s v="Unique Order ID"/>
  </r>
  <r>
    <s v="ORD10549"/>
    <x v="54"/>
    <x v="13"/>
    <x v="2"/>
    <x v="2"/>
    <x v="0"/>
    <x v="18"/>
    <n v="13"/>
    <n v="45067"/>
    <n v="0"/>
    <n v="585871"/>
    <n v="0"/>
    <s v="Unique Order ID"/>
  </r>
  <r>
    <s v="ORD10550"/>
    <x v="74"/>
    <x v="13"/>
    <x v="1"/>
    <x v="4"/>
    <x v="1"/>
    <x v="23"/>
    <n v="7"/>
    <n v="32486"/>
    <n v="10"/>
    <n v="204661.8"/>
    <n v="22740.2"/>
    <s v="Unique Order ID"/>
  </r>
  <r>
    <s v="ORD10551"/>
    <x v="88"/>
    <x v="1"/>
    <x v="1"/>
    <x v="3"/>
    <x v="1"/>
    <x v="5"/>
    <n v="15"/>
    <n v="29297"/>
    <n v="20"/>
    <n v="351564"/>
    <n v="87891"/>
    <s v="Unique Order ID"/>
  </r>
  <r>
    <s v="ORD10552"/>
    <x v="87"/>
    <x v="16"/>
    <x v="2"/>
    <x v="2"/>
    <x v="1"/>
    <x v="1"/>
    <n v="7"/>
    <n v="42587"/>
    <n v="0"/>
    <n v="298109"/>
    <n v="0"/>
    <s v="Unique Order ID"/>
  </r>
  <r>
    <s v="ORD10553"/>
    <x v="1"/>
    <x v="12"/>
    <x v="0"/>
    <x v="1"/>
    <x v="2"/>
    <x v="13"/>
    <n v="2"/>
    <n v="22231"/>
    <n v="20"/>
    <n v="35569.599999999999"/>
    <n v="8892.4"/>
    <s v="Unique Order ID"/>
  </r>
  <r>
    <s v="ORD10554"/>
    <x v="40"/>
    <x v="18"/>
    <x v="0"/>
    <x v="0"/>
    <x v="2"/>
    <x v="10"/>
    <n v="3"/>
    <n v="37813"/>
    <n v="0"/>
    <n v="113439"/>
    <n v="0"/>
    <s v="Unique Order ID"/>
  </r>
  <r>
    <s v="ORD10555"/>
    <x v="31"/>
    <x v="15"/>
    <x v="3"/>
    <x v="1"/>
    <x v="2"/>
    <x v="15"/>
    <n v="2"/>
    <n v="17559"/>
    <n v="10"/>
    <n v="31606.2"/>
    <n v="3511.8"/>
    <s v="Unique Order ID"/>
  </r>
  <r>
    <s v="ORD10556"/>
    <x v="56"/>
    <x v="2"/>
    <x v="3"/>
    <x v="1"/>
    <x v="2"/>
    <x v="9"/>
    <n v="3"/>
    <n v="30010"/>
    <n v="0"/>
    <n v="90030"/>
    <n v="0"/>
    <s v="Unique Order ID"/>
  </r>
  <r>
    <s v="ORD10557"/>
    <x v="60"/>
    <x v="12"/>
    <x v="2"/>
    <x v="0"/>
    <x v="0"/>
    <x v="21"/>
    <n v="12"/>
    <n v="47943"/>
    <n v="20"/>
    <n v="460252.8"/>
    <n v="115063.20000000001"/>
    <s v="Unique Order ID"/>
  </r>
  <r>
    <s v="ORD10558"/>
    <x v="13"/>
    <x v="10"/>
    <x v="1"/>
    <x v="4"/>
    <x v="0"/>
    <x v="8"/>
    <n v="7"/>
    <n v="44954"/>
    <n v="20"/>
    <n v="251742.4"/>
    <n v="62935.600000000006"/>
    <s v="Unique Order ID"/>
  </r>
  <r>
    <s v="ORD10559"/>
    <x v="72"/>
    <x v="0"/>
    <x v="3"/>
    <x v="0"/>
    <x v="0"/>
    <x v="14"/>
    <n v="3"/>
    <n v="8005"/>
    <n v="20"/>
    <n v="19212"/>
    <n v="4803"/>
    <s v="Unique Order ID"/>
  </r>
  <r>
    <s v="ORD10560"/>
    <x v="48"/>
    <x v="1"/>
    <x v="3"/>
    <x v="1"/>
    <x v="0"/>
    <x v="0"/>
    <n v="3"/>
    <n v="35086"/>
    <n v="15"/>
    <n v="89469.3"/>
    <n v="15788.699999999999"/>
    <s v="Unique Order ID"/>
  </r>
  <r>
    <s v="ORD10561"/>
    <x v="69"/>
    <x v="12"/>
    <x v="0"/>
    <x v="3"/>
    <x v="2"/>
    <x v="9"/>
    <n v="12"/>
    <n v="13315"/>
    <n v="20"/>
    <n v="127824"/>
    <n v="31956"/>
    <s v="Unique Order ID"/>
  </r>
  <r>
    <s v="ORD10562"/>
    <x v="49"/>
    <x v="2"/>
    <x v="3"/>
    <x v="1"/>
    <x v="2"/>
    <x v="13"/>
    <n v="14"/>
    <n v="5773"/>
    <n v="0"/>
    <n v="80822"/>
    <n v="0"/>
    <s v="Unique Order ID"/>
  </r>
  <r>
    <s v="ORD10563"/>
    <x v="33"/>
    <x v="19"/>
    <x v="0"/>
    <x v="0"/>
    <x v="0"/>
    <x v="18"/>
    <n v="8"/>
    <n v="15685"/>
    <n v="20"/>
    <n v="100384"/>
    <n v="25096"/>
    <s v="Unique Order ID"/>
  </r>
  <r>
    <s v="ORD10564"/>
    <x v="85"/>
    <x v="0"/>
    <x v="0"/>
    <x v="0"/>
    <x v="2"/>
    <x v="13"/>
    <n v="15"/>
    <n v="54105"/>
    <n v="20"/>
    <n v="649260"/>
    <n v="162315"/>
    <s v="Unique Order ID"/>
  </r>
  <r>
    <s v="ORD10565"/>
    <x v="88"/>
    <x v="8"/>
    <x v="3"/>
    <x v="3"/>
    <x v="1"/>
    <x v="11"/>
    <n v="5"/>
    <n v="9737"/>
    <n v="15"/>
    <n v="41382.25"/>
    <n v="7302.75"/>
    <s v="Unique Order ID"/>
  </r>
  <r>
    <s v="ORD10566"/>
    <x v="7"/>
    <x v="11"/>
    <x v="3"/>
    <x v="0"/>
    <x v="0"/>
    <x v="0"/>
    <n v="11"/>
    <n v="7009"/>
    <n v="0"/>
    <n v="77099"/>
    <n v="0"/>
    <s v="Unique Order ID"/>
  </r>
  <r>
    <s v="ORD10567"/>
    <x v="47"/>
    <x v="19"/>
    <x v="0"/>
    <x v="4"/>
    <x v="1"/>
    <x v="6"/>
    <n v="5"/>
    <n v="1656"/>
    <n v="10"/>
    <n v="7452"/>
    <n v="828"/>
    <s v="Duplicate Order ID"/>
  </r>
  <r>
    <s v="ORD10567"/>
    <x v="18"/>
    <x v="19"/>
    <x v="2"/>
    <x v="3"/>
    <x v="1"/>
    <x v="11"/>
    <n v="6"/>
    <n v="50010"/>
    <n v="0"/>
    <n v="300060"/>
    <n v="0"/>
    <s v="Duplicate Order ID"/>
  </r>
  <r>
    <s v="ORD10568"/>
    <x v="35"/>
    <x v="13"/>
    <x v="2"/>
    <x v="0"/>
    <x v="0"/>
    <x v="17"/>
    <n v="10"/>
    <n v="10582"/>
    <n v="0"/>
    <n v="105820"/>
    <n v="0"/>
    <s v="Unique Order ID"/>
  </r>
  <r>
    <s v="ORD10570"/>
    <x v="46"/>
    <x v="11"/>
    <x v="0"/>
    <x v="4"/>
    <x v="0"/>
    <x v="0"/>
    <n v="7"/>
    <n v="36030"/>
    <n v="15"/>
    <n v="214378.5"/>
    <n v="37831.5"/>
    <s v="Unique Order ID"/>
  </r>
  <r>
    <s v="ORD10571"/>
    <x v="32"/>
    <x v="3"/>
    <x v="0"/>
    <x v="2"/>
    <x v="1"/>
    <x v="22"/>
    <n v="3"/>
    <n v="26478"/>
    <n v="15"/>
    <n v="67518.899999999994"/>
    <n v="11915.1"/>
    <s v="Unique Order ID"/>
  </r>
  <r>
    <s v="ORD10572"/>
    <x v="20"/>
    <x v="0"/>
    <x v="2"/>
    <x v="0"/>
    <x v="0"/>
    <x v="21"/>
    <n v="2"/>
    <n v="47114"/>
    <n v="0"/>
    <n v="94228"/>
    <n v="0"/>
    <s v="Unique Order ID"/>
  </r>
  <r>
    <s v="ORD10573"/>
    <x v="89"/>
    <x v="12"/>
    <x v="1"/>
    <x v="2"/>
    <x v="2"/>
    <x v="10"/>
    <n v="6"/>
    <n v="2779"/>
    <n v="15"/>
    <n v="14172.9"/>
    <n v="2501.1"/>
    <s v="Unique Order ID"/>
  </r>
  <r>
    <s v="ORD10574"/>
    <x v="52"/>
    <x v="15"/>
    <x v="3"/>
    <x v="2"/>
    <x v="2"/>
    <x v="9"/>
    <n v="7"/>
    <n v="8812"/>
    <n v="5"/>
    <n v="58599.8"/>
    <n v="3084.2000000000003"/>
    <s v="Unique Order ID"/>
  </r>
  <r>
    <s v="ORD10575"/>
    <x v="8"/>
    <x v="16"/>
    <x v="3"/>
    <x v="0"/>
    <x v="2"/>
    <x v="9"/>
    <n v="7"/>
    <n v="30114"/>
    <n v="10"/>
    <n v="189718.2"/>
    <n v="21079.800000000003"/>
    <s v="Unique Order ID"/>
  </r>
  <r>
    <s v="ORD10576"/>
    <x v="21"/>
    <x v="7"/>
    <x v="2"/>
    <x v="4"/>
    <x v="2"/>
    <x v="2"/>
    <n v="5"/>
    <n v="24556"/>
    <n v="15"/>
    <n v="104363"/>
    <n v="18417"/>
    <s v="Unique Order ID"/>
  </r>
  <r>
    <s v="ORD10577"/>
    <x v="29"/>
    <x v="8"/>
    <x v="2"/>
    <x v="3"/>
    <x v="2"/>
    <x v="3"/>
    <n v="4"/>
    <n v="39337"/>
    <n v="10"/>
    <n v="141613.20000000001"/>
    <n v="15734.800000000001"/>
    <s v="Unique Order ID"/>
  </r>
  <r>
    <s v="ORD10578"/>
    <x v="62"/>
    <x v="18"/>
    <x v="3"/>
    <x v="2"/>
    <x v="0"/>
    <x v="8"/>
    <n v="11"/>
    <n v="17098"/>
    <n v="5"/>
    <n v="178674.1"/>
    <n v="9403.9"/>
    <s v="Unique Order ID"/>
  </r>
  <r>
    <s v="ORD10579"/>
    <x v="21"/>
    <x v="19"/>
    <x v="2"/>
    <x v="3"/>
    <x v="0"/>
    <x v="18"/>
    <n v="11"/>
    <n v="47327"/>
    <n v="0"/>
    <n v="416477.6"/>
    <n v="0"/>
    <s v="Unique Order ID"/>
  </r>
  <r>
    <s v="ORD10580"/>
    <x v="20"/>
    <x v="1"/>
    <x v="1"/>
    <x v="3"/>
    <x v="2"/>
    <x v="15"/>
    <n v="10"/>
    <n v="37766"/>
    <n v="5"/>
    <n v="358777"/>
    <n v="18883"/>
    <s v="Unique Order ID"/>
  </r>
  <r>
    <s v="ORD10581"/>
    <x v="25"/>
    <x v="14"/>
    <x v="1"/>
    <x v="1"/>
    <x v="2"/>
    <x v="3"/>
    <n v="10"/>
    <n v="6999"/>
    <n v="15"/>
    <n v="59491.5"/>
    <n v="10498.5"/>
    <s v="Unique Order ID"/>
  </r>
  <r>
    <s v="ORD10582"/>
    <x v="1"/>
    <x v="5"/>
    <x v="0"/>
    <x v="0"/>
    <x v="2"/>
    <x v="10"/>
    <n v="12"/>
    <n v="32346"/>
    <n v="0"/>
    <n v="388152"/>
    <n v="0"/>
    <s v="Unique Order ID"/>
  </r>
  <r>
    <s v="ORD10583"/>
    <x v="83"/>
    <x v="3"/>
    <x v="1"/>
    <x v="1"/>
    <x v="0"/>
    <x v="0"/>
    <n v="5"/>
    <n v="14503"/>
    <n v="20"/>
    <n v="58012"/>
    <n v="14503"/>
    <s v="Unique Order ID"/>
  </r>
  <r>
    <s v="ORD10584"/>
    <x v="36"/>
    <x v="13"/>
    <x v="2"/>
    <x v="2"/>
    <x v="1"/>
    <x v="20"/>
    <n v="15"/>
    <n v="9414"/>
    <n v="5"/>
    <n v="134149.5"/>
    <n v="7060.5"/>
    <s v="Unique Order ID"/>
  </r>
  <r>
    <s v="ORD10585"/>
    <x v="0"/>
    <x v="1"/>
    <x v="0"/>
    <x v="3"/>
    <x v="0"/>
    <x v="17"/>
    <n v="15"/>
    <n v="37572"/>
    <n v="5"/>
    <n v="535401"/>
    <n v="28179"/>
    <s v="Unique Order ID"/>
  </r>
  <r>
    <s v="ORD10586"/>
    <x v="15"/>
    <x v="5"/>
    <x v="2"/>
    <x v="1"/>
    <x v="0"/>
    <x v="8"/>
    <n v="5"/>
    <n v="29279"/>
    <n v="0"/>
    <n v="146395"/>
    <n v="0"/>
    <s v="Unique Order ID"/>
  </r>
  <r>
    <s v="ORD10587"/>
    <x v="25"/>
    <x v="6"/>
    <x v="2"/>
    <x v="2"/>
    <x v="0"/>
    <x v="18"/>
    <n v="15"/>
    <n v="1592"/>
    <n v="15"/>
    <n v="20298"/>
    <n v="3582"/>
    <s v="Unique Order ID"/>
  </r>
  <r>
    <s v="ORD10588"/>
    <x v="55"/>
    <x v="12"/>
    <x v="1"/>
    <x v="3"/>
    <x v="2"/>
    <x v="2"/>
    <n v="8"/>
    <n v="45588"/>
    <n v="15"/>
    <n v="309998.40000000002"/>
    <n v="54705.599999999999"/>
    <s v="Unique Order ID"/>
  </r>
  <r>
    <s v="ORD10589"/>
    <x v="5"/>
    <x v="8"/>
    <x v="0"/>
    <x v="3"/>
    <x v="1"/>
    <x v="6"/>
    <n v="9"/>
    <n v="40207"/>
    <n v="0"/>
    <n v="361863"/>
    <n v="0"/>
    <s v="Unique Order ID"/>
  </r>
  <r>
    <s v="ORD10590"/>
    <x v="0"/>
    <x v="14"/>
    <x v="3"/>
    <x v="2"/>
    <x v="0"/>
    <x v="18"/>
    <n v="9"/>
    <n v="38722"/>
    <n v="5"/>
    <n v="331073.09999999998"/>
    <n v="17424.900000000001"/>
    <s v="Unique Order ID"/>
  </r>
  <r>
    <s v="ORD10591"/>
    <x v="8"/>
    <x v="11"/>
    <x v="3"/>
    <x v="3"/>
    <x v="0"/>
    <x v="21"/>
    <n v="13"/>
    <n v="57924"/>
    <n v="20"/>
    <n v="602409.6"/>
    <n v="150602.4"/>
    <s v="Unique Order ID"/>
  </r>
  <r>
    <s v="ORD10592"/>
    <x v="13"/>
    <x v="12"/>
    <x v="0"/>
    <x v="4"/>
    <x v="2"/>
    <x v="13"/>
    <n v="7"/>
    <n v="34735"/>
    <n v="10"/>
    <n v="218830.5"/>
    <n v="24314.5"/>
    <s v="Unique Order ID"/>
  </r>
  <r>
    <s v="ORD10593"/>
    <x v="58"/>
    <x v="2"/>
    <x v="0"/>
    <x v="0"/>
    <x v="0"/>
    <x v="14"/>
    <n v="15"/>
    <n v="5638"/>
    <n v="15"/>
    <n v="71884.5"/>
    <n v="12685.5"/>
    <s v="Unique Order ID"/>
  </r>
  <r>
    <s v="ORD10594"/>
    <x v="12"/>
    <x v="9"/>
    <x v="3"/>
    <x v="3"/>
    <x v="0"/>
    <x v="8"/>
    <n v="10"/>
    <n v="8020"/>
    <n v="20"/>
    <n v="64160"/>
    <n v="16040"/>
    <s v="Unique Order ID"/>
  </r>
  <r>
    <s v="ORD10595"/>
    <x v="35"/>
    <x v="9"/>
    <x v="3"/>
    <x v="3"/>
    <x v="2"/>
    <x v="3"/>
    <n v="10"/>
    <n v="26982"/>
    <n v="5"/>
    <n v="256329"/>
    <n v="13491"/>
    <s v="Unique Order ID"/>
  </r>
  <r>
    <s v="ORD10596"/>
    <x v="21"/>
    <x v="7"/>
    <x v="3"/>
    <x v="3"/>
    <x v="0"/>
    <x v="21"/>
    <n v="10"/>
    <n v="48796"/>
    <n v="15"/>
    <n v="414766"/>
    <n v="73194"/>
    <s v="Unique Order ID"/>
  </r>
  <r>
    <s v="ORD10597"/>
    <x v="66"/>
    <x v="9"/>
    <x v="3"/>
    <x v="2"/>
    <x v="0"/>
    <x v="19"/>
    <n v="9"/>
    <n v="7422"/>
    <n v="15"/>
    <n v="56778.3"/>
    <n v="10019.699999999999"/>
    <s v="Unique Order ID"/>
  </r>
  <r>
    <s v="ORD10598"/>
    <x v="22"/>
    <x v="13"/>
    <x v="2"/>
    <x v="2"/>
    <x v="2"/>
    <x v="10"/>
    <n v="9"/>
    <n v="30439"/>
    <n v="20"/>
    <n v="219160.8"/>
    <n v="54790.200000000004"/>
    <s v="Unique Order ID"/>
  </r>
  <r>
    <s v="ORD10599"/>
    <x v="85"/>
    <x v="12"/>
    <x v="2"/>
    <x v="4"/>
    <x v="0"/>
    <x v="12"/>
    <n v="11"/>
    <n v="14317"/>
    <n v="0"/>
    <n v="157487"/>
    <n v="0"/>
    <s v="Unique Order ID"/>
  </r>
  <r>
    <s v="ORD10600"/>
    <x v="5"/>
    <x v="1"/>
    <x v="2"/>
    <x v="4"/>
    <x v="2"/>
    <x v="10"/>
    <n v="15"/>
    <n v="13544"/>
    <n v="0"/>
    <n v="203160"/>
    <n v="0"/>
    <s v="Unique Order ID"/>
  </r>
  <r>
    <s v="ORD10601"/>
    <x v="17"/>
    <x v="3"/>
    <x v="2"/>
    <x v="4"/>
    <x v="2"/>
    <x v="13"/>
    <n v="4"/>
    <n v="56428"/>
    <n v="15"/>
    <n v="191855.2"/>
    <n v="33856.799999999996"/>
    <s v="Unique Order ID"/>
  </r>
  <r>
    <s v="ORD10602"/>
    <x v="34"/>
    <x v="6"/>
    <x v="1"/>
    <x v="2"/>
    <x v="1"/>
    <x v="5"/>
    <n v="12"/>
    <n v="40233"/>
    <n v="20"/>
    <n v="386236.8"/>
    <n v="96559.200000000012"/>
    <s v="Unique Order ID"/>
  </r>
  <r>
    <s v="ORD10603"/>
    <x v="18"/>
    <x v="19"/>
    <x v="3"/>
    <x v="0"/>
    <x v="0"/>
    <x v="8"/>
    <n v="5"/>
    <n v="6870"/>
    <n v="15"/>
    <n v="29197.5"/>
    <n v="5152.5"/>
    <s v="Unique Order ID"/>
  </r>
  <r>
    <s v="ORD10604"/>
    <x v="76"/>
    <x v="10"/>
    <x v="0"/>
    <x v="2"/>
    <x v="0"/>
    <x v="18"/>
    <n v="3"/>
    <n v="57569"/>
    <n v="20"/>
    <n v="138165.6"/>
    <n v="34541.4"/>
    <s v="Unique Order ID"/>
  </r>
  <r>
    <s v="ORD10605"/>
    <x v="59"/>
    <x v="16"/>
    <x v="2"/>
    <x v="2"/>
    <x v="0"/>
    <x v="14"/>
    <n v="8"/>
    <n v="46660"/>
    <n v="5"/>
    <n v="354616"/>
    <n v="18664"/>
    <s v="Unique Order ID"/>
  </r>
  <r>
    <s v="ORD10606"/>
    <x v="38"/>
    <x v="3"/>
    <x v="3"/>
    <x v="3"/>
    <x v="2"/>
    <x v="13"/>
    <n v="4"/>
    <n v="23864"/>
    <n v="0"/>
    <n v="95456"/>
    <n v="0"/>
    <s v="Unique Order ID"/>
  </r>
  <r>
    <s v="ORD10607"/>
    <x v="42"/>
    <x v="8"/>
    <x v="0"/>
    <x v="3"/>
    <x v="0"/>
    <x v="19"/>
    <n v="6"/>
    <n v="8299"/>
    <n v="10"/>
    <n v="44814.6"/>
    <n v="4979.4000000000005"/>
    <s v="Unique Order ID"/>
  </r>
  <r>
    <s v="ORD10608"/>
    <x v="74"/>
    <x v="9"/>
    <x v="1"/>
    <x v="4"/>
    <x v="0"/>
    <x v="10"/>
    <n v="15"/>
    <n v="3434"/>
    <n v="15"/>
    <n v="43783.5"/>
    <n v="7726.5"/>
    <s v="Unique Order ID"/>
  </r>
  <r>
    <s v="ORD10609"/>
    <x v="51"/>
    <x v="16"/>
    <x v="1"/>
    <x v="1"/>
    <x v="1"/>
    <x v="6"/>
    <n v="2"/>
    <n v="20603"/>
    <n v="10"/>
    <n v="37085.4"/>
    <n v="4120.6000000000004"/>
    <s v="Unique Order ID"/>
  </r>
  <r>
    <s v="ORD10610"/>
    <x v="68"/>
    <x v="3"/>
    <x v="0"/>
    <x v="1"/>
    <x v="1"/>
    <x v="5"/>
    <n v="15"/>
    <n v="14107"/>
    <n v="0"/>
    <n v="211605"/>
    <n v="0"/>
    <s v="Unique Order ID"/>
  </r>
  <r>
    <s v="ORD10611"/>
    <x v="47"/>
    <x v="18"/>
    <x v="3"/>
    <x v="3"/>
    <x v="2"/>
    <x v="2"/>
    <n v="4"/>
    <n v="47475"/>
    <n v="20"/>
    <n v="151920"/>
    <n v="37980"/>
    <s v="Unique Order ID"/>
  </r>
  <r>
    <s v="ORD10612"/>
    <x v="6"/>
    <x v="4"/>
    <x v="2"/>
    <x v="2"/>
    <x v="1"/>
    <x v="11"/>
    <n v="13"/>
    <n v="4163"/>
    <n v="10"/>
    <n v="48707.1"/>
    <n v="5411.9000000000005"/>
    <s v="Unique Order ID"/>
  </r>
  <r>
    <s v="ORD10613"/>
    <x v="77"/>
    <x v="12"/>
    <x v="2"/>
    <x v="1"/>
    <x v="1"/>
    <x v="22"/>
    <n v="7"/>
    <n v="30692"/>
    <n v="20"/>
    <n v="171875.20000000001"/>
    <n v="42968.800000000003"/>
    <s v="Unique Order ID"/>
  </r>
  <r>
    <s v="ORD10614"/>
    <x v="27"/>
    <x v="9"/>
    <x v="3"/>
    <x v="4"/>
    <x v="1"/>
    <x v="7"/>
    <n v="8"/>
    <n v="46222"/>
    <n v="0"/>
    <n v="369776"/>
    <n v="0"/>
    <s v="Unique Order ID"/>
  </r>
  <r>
    <s v="ORD10615"/>
    <x v="20"/>
    <x v="5"/>
    <x v="1"/>
    <x v="3"/>
    <x v="2"/>
    <x v="2"/>
    <n v="8"/>
    <n v="3990"/>
    <n v="20"/>
    <n v="25536"/>
    <n v="6384"/>
    <s v="Unique Order ID"/>
  </r>
  <r>
    <s v="ORD10616"/>
    <x v="37"/>
    <x v="15"/>
    <x v="0"/>
    <x v="4"/>
    <x v="0"/>
    <x v="0"/>
    <n v="2"/>
    <n v="41633"/>
    <n v="0"/>
    <n v="83266"/>
    <n v="0"/>
    <s v="Unique Order ID"/>
  </r>
  <r>
    <s v="ORD10617"/>
    <x v="29"/>
    <x v="5"/>
    <x v="3"/>
    <x v="0"/>
    <x v="1"/>
    <x v="5"/>
    <n v="4"/>
    <n v="9333"/>
    <n v="15"/>
    <n v="31732.2"/>
    <n v="5599.8"/>
    <s v="Unique Order ID"/>
  </r>
  <r>
    <s v="ORD10618"/>
    <x v="82"/>
    <x v="8"/>
    <x v="1"/>
    <x v="2"/>
    <x v="0"/>
    <x v="19"/>
    <n v="13"/>
    <n v="37105"/>
    <n v="15"/>
    <n v="410010.25"/>
    <n v="72354.75"/>
    <s v="Unique Order ID"/>
  </r>
  <r>
    <s v="ORD10619"/>
    <x v="60"/>
    <x v="18"/>
    <x v="1"/>
    <x v="4"/>
    <x v="1"/>
    <x v="18"/>
    <n v="8"/>
    <n v="41219"/>
    <n v="0"/>
    <n v="329752"/>
    <n v="0"/>
    <s v="Duplicate Order ID"/>
  </r>
  <r>
    <s v="ORD10619"/>
    <x v="39"/>
    <x v="7"/>
    <x v="3"/>
    <x v="2"/>
    <x v="0"/>
    <x v="19"/>
    <n v="6"/>
    <n v="46977.799999999996"/>
    <n v="15"/>
    <n v="281866.8"/>
    <n v="42280.02"/>
    <s v="Duplicate Order ID"/>
  </r>
  <r>
    <s v="ORD10621"/>
    <x v="88"/>
    <x v="13"/>
    <x v="1"/>
    <x v="0"/>
    <x v="2"/>
    <x v="3"/>
    <n v="10"/>
    <n v="58444"/>
    <n v="20"/>
    <n v="467552"/>
    <n v="116888"/>
    <s v="Unique Order ID"/>
  </r>
  <r>
    <s v="ORD10622"/>
    <x v="87"/>
    <x v="3"/>
    <x v="2"/>
    <x v="1"/>
    <x v="2"/>
    <x v="13"/>
    <n v="2"/>
    <n v="44624"/>
    <n v="0"/>
    <n v="89248"/>
    <n v="0"/>
    <s v="Unique Order ID"/>
  </r>
  <r>
    <s v="ORD10623"/>
    <x v="88"/>
    <x v="12"/>
    <x v="1"/>
    <x v="0"/>
    <x v="2"/>
    <x v="15"/>
    <n v="6"/>
    <n v="37193"/>
    <n v="0"/>
    <n v="223158"/>
    <n v="0"/>
    <s v="Unique Order ID"/>
  </r>
  <r>
    <s v="ORD10624"/>
    <x v="16"/>
    <x v="0"/>
    <x v="3"/>
    <x v="0"/>
    <x v="1"/>
    <x v="7"/>
    <n v="8"/>
    <n v="11009"/>
    <n v="20"/>
    <n v="70457.600000000006"/>
    <n v="17614.400000000001"/>
    <s v="Unique Order ID"/>
  </r>
  <r>
    <s v="ORD10625"/>
    <x v="65"/>
    <x v="19"/>
    <x v="3"/>
    <x v="0"/>
    <x v="2"/>
    <x v="9"/>
    <n v="8"/>
    <n v="6776"/>
    <n v="0"/>
    <n v="54208"/>
    <n v="0"/>
    <s v="Unique Order ID"/>
  </r>
  <r>
    <s v="ORD10626"/>
    <x v="2"/>
    <x v="17"/>
    <x v="1"/>
    <x v="4"/>
    <x v="2"/>
    <x v="13"/>
    <n v="9"/>
    <n v="38654"/>
    <n v="0"/>
    <n v="347886"/>
    <n v="0"/>
    <s v="Unique Order ID"/>
  </r>
  <r>
    <s v="ORD10627"/>
    <x v="10"/>
    <x v="19"/>
    <x v="1"/>
    <x v="1"/>
    <x v="0"/>
    <x v="17"/>
    <n v="15"/>
    <n v="7399"/>
    <n v="10"/>
    <n v="99886.5"/>
    <n v="11098.5"/>
    <s v="Unique Order ID"/>
  </r>
  <r>
    <s v="ORD10628"/>
    <x v="13"/>
    <x v="8"/>
    <x v="1"/>
    <x v="4"/>
    <x v="2"/>
    <x v="2"/>
    <n v="2"/>
    <n v="3126"/>
    <n v="0"/>
    <n v="6252"/>
    <n v="0"/>
    <s v="Unique Order ID"/>
  </r>
  <r>
    <s v="ORD10629"/>
    <x v="34"/>
    <x v="2"/>
    <x v="1"/>
    <x v="2"/>
    <x v="0"/>
    <x v="12"/>
    <n v="10"/>
    <n v="5117"/>
    <n v="15"/>
    <n v="43494.5"/>
    <n v="7675.5"/>
    <s v="Unique Order ID"/>
  </r>
  <r>
    <s v="ORD10630"/>
    <x v="54"/>
    <x v="13"/>
    <x v="1"/>
    <x v="3"/>
    <x v="2"/>
    <x v="2"/>
    <n v="3"/>
    <n v="46948"/>
    <n v="15"/>
    <n v="119717.4"/>
    <n v="21126.6"/>
    <s v="Duplicate Order ID"/>
  </r>
  <r>
    <s v="ORD10630"/>
    <x v="16"/>
    <x v="2"/>
    <x v="0"/>
    <x v="2"/>
    <x v="2"/>
    <x v="13"/>
    <n v="6"/>
    <n v="47234"/>
    <n v="5"/>
    <n v="269233.8"/>
    <n v="14170.2"/>
    <s v="Duplicate Order ID"/>
  </r>
  <r>
    <s v="ORD10632"/>
    <x v="41"/>
    <x v="17"/>
    <x v="0"/>
    <x v="2"/>
    <x v="2"/>
    <x v="10"/>
    <n v="5"/>
    <n v="4412"/>
    <n v="15"/>
    <n v="18751"/>
    <n v="3309"/>
    <s v="Unique Order ID"/>
  </r>
  <r>
    <s v="ORD10633"/>
    <x v="48"/>
    <x v="10"/>
    <x v="1"/>
    <x v="1"/>
    <x v="0"/>
    <x v="14"/>
    <n v="9"/>
    <n v="34284"/>
    <n v="20"/>
    <n v="246844.79999999999"/>
    <n v="61711.200000000004"/>
    <s v="Unique Order ID"/>
  </r>
  <r>
    <s v="ORD10634"/>
    <x v="37"/>
    <x v="14"/>
    <x v="0"/>
    <x v="4"/>
    <x v="1"/>
    <x v="2"/>
    <n v="8"/>
    <n v="50508"/>
    <n v="0"/>
    <n v="404064"/>
    <n v="0"/>
    <s v="Unique Order ID"/>
  </r>
  <r>
    <s v="ORD10635"/>
    <x v="76"/>
    <x v="19"/>
    <x v="0"/>
    <x v="4"/>
    <x v="1"/>
    <x v="11"/>
    <n v="4"/>
    <n v="19360"/>
    <n v="5"/>
    <n v="73568"/>
    <n v="3872"/>
    <s v="Unique Order ID"/>
  </r>
  <r>
    <s v="ORD10636"/>
    <x v="14"/>
    <x v="8"/>
    <x v="1"/>
    <x v="0"/>
    <x v="2"/>
    <x v="10"/>
    <n v="4"/>
    <n v="52313"/>
    <n v="20"/>
    <n v="167401.60000000001"/>
    <n v="41850.400000000001"/>
    <s v="Unique Order ID"/>
  </r>
  <r>
    <s v="ORD10637"/>
    <x v="56"/>
    <x v="17"/>
    <x v="0"/>
    <x v="2"/>
    <x v="0"/>
    <x v="21"/>
    <n v="1"/>
    <n v="6012"/>
    <n v="20"/>
    <n v="4809.6000000000004"/>
    <n v="1202.4000000000001"/>
    <s v="Unique Order ID"/>
  </r>
  <r>
    <s v="ORD10638"/>
    <x v="60"/>
    <x v="19"/>
    <x v="1"/>
    <x v="2"/>
    <x v="2"/>
    <x v="10"/>
    <n v="10"/>
    <n v="10590"/>
    <n v="0"/>
    <n v="100605"/>
    <n v="0"/>
    <s v="Unique Order ID"/>
  </r>
  <r>
    <s v="ORD10639"/>
    <x v="55"/>
    <x v="18"/>
    <x v="0"/>
    <x v="3"/>
    <x v="0"/>
    <x v="0"/>
    <n v="12"/>
    <n v="19375"/>
    <n v="15"/>
    <n v="197625"/>
    <n v="34875"/>
    <s v="Unique Order ID"/>
  </r>
  <r>
    <s v="ORD10640"/>
    <x v="40"/>
    <x v="1"/>
    <x v="2"/>
    <x v="2"/>
    <x v="2"/>
    <x v="2"/>
    <n v="12"/>
    <n v="57305"/>
    <n v="5"/>
    <n v="653277"/>
    <n v="34383"/>
    <s v="Unique Order ID"/>
  </r>
  <r>
    <s v="ORD10641"/>
    <x v="51"/>
    <x v="18"/>
    <x v="2"/>
    <x v="2"/>
    <x v="1"/>
    <x v="6"/>
    <n v="7"/>
    <n v="15463"/>
    <n v="0"/>
    <n v="108241"/>
    <n v="0"/>
    <s v="Unique Order ID"/>
  </r>
  <r>
    <s v="ORD10642"/>
    <x v="7"/>
    <x v="0"/>
    <x v="2"/>
    <x v="1"/>
    <x v="2"/>
    <x v="10"/>
    <n v="15"/>
    <n v="44239"/>
    <n v="10"/>
    <n v="597226.5"/>
    <n v="66358.5"/>
    <s v="Unique Order ID"/>
  </r>
  <r>
    <s v="ORD10643"/>
    <x v="2"/>
    <x v="14"/>
    <x v="0"/>
    <x v="2"/>
    <x v="1"/>
    <x v="16"/>
    <n v="13"/>
    <n v="24438"/>
    <n v="15"/>
    <n v="270039.90000000002"/>
    <n v="47654.1"/>
    <s v="Unique Order ID"/>
  </r>
  <r>
    <s v="ORD10644"/>
    <x v="81"/>
    <x v="3"/>
    <x v="2"/>
    <x v="4"/>
    <x v="1"/>
    <x v="11"/>
    <n v="13"/>
    <n v="48050"/>
    <n v="5"/>
    <n v="593417.5"/>
    <n v="31232.5"/>
    <s v="Duplicate Order ID"/>
  </r>
  <r>
    <s v="ORD10644"/>
    <x v="10"/>
    <x v="15"/>
    <x v="1"/>
    <x v="4"/>
    <x v="2"/>
    <x v="13"/>
    <n v="10"/>
    <n v="11464"/>
    <n v="0"/>
    <n v="114640"/>
    <n v="0"/>
    <s v="Duplicate Order ID"/>
  </r>
  <r>
    <s v="ORD10646"/>
    <x v="31"/>
    <x v="6"/>
    <x v="3"/>
    <x v="2"/>
    <x v="1"/>
    <x v="11"/>
    <n v="2"/>
    <n v="39190"/>
    <n v="0"/>
    <n v="78380"/>
    <n v="0"/>
    <s v="Unique Order ID"/>
  </r>
  <r>
    <s v="ORD10647"/>
    <x v="13"/>
    <x v="17"/>
    <x v="0"/>
    <x v="0"/>
    <x v="0"/>
    <x v="17"/>
    <n v="10"/>
    <n v="21992"/>
    <n v="20"/>
    <n v="175936"/>
    <n v="43984"/>
    <s v="Unique Order ID"/>
  </r>
  <r>
    <s v="ORD10648"/>
    <x v="82"/>
    <x v="8"/>
    <x v="3"/>
    <x v="0"/>
    <x v="2"/>
    <x v="2"/>
    <n v="1"/>
    <n v="15842"/>
    <n v="15"/>
    <n v="13465.7"/>
    <n v="2376.2999999999997"/>
    <s v="Unique Order ID"/>
  </r>
  <r>
    <s v="ORD10649"/>
    <x v="66"/>
    <x v="0"/>
    <x v="2"/>
    <x v="0"/>
    <x v="1"/>
    <x v="11"/>
    <n v="8"/>
    <n v="55341"/>
    <n v="20"/>
    <n v="354182.40000000002"/>
    <n v="88545.600000000006"/>
    <s v="Unique Order ID"/>
  </r>
  <r>
    <s v="ORD10650"/>
    <x v="37"/>
    <x v="17"/>
    <x v="1"/>
    <x v="2"/>
    <x v="2"/>
    <x v="2"/>
    <n v="9"/>
    <n v="41272"/>
    <n v="10"/>
    <n v="334303.2"/>
    <n v="37144.800000000003"/>
    <s v="Unique Order ID"/>
  </r>
  <r>
    <s v="ORD10651"/>
    <x v="90"/>
    <x v="11"/>
    <x v="1"/>
    <x v="0"/>
    <x v="1"/>
    <x v="6"/>
    <n v="2"/>
    <n v="12693"/>
    <n v="10"/>
    <n v="22847.4"/>
    <n v="2538.6000000000004"/>
    <s v="Unique Order ID"/>
  </r>
  <r>
    <s v="ORD10652"/>
    <x v="58"/>
    <x v="10"/>
    <x v="0"/>
    <x v="3"/>
    <x v="2"/>
    <x v="13"/>
    <n v="9"/>
    <n v="47787"/>
    <n v="0"/>
    <n v="430083"/>
    <n v="0"/>
    <s v="Unique Order ID"/>
  </r>
  <r>
    <s v="ORD10653"/>
    <x v="40"/>
    <x v="19"/>
    <x v="3"/>
    <x v="0"/>
    <x v="1"/>
    <x v="4"/>
    <n v="4"/>
    <n v="58800"/>
    <n v="0"/>
    <n v="235200"/>
    <n v="0"/>
    <s v="Unique Order ID"/>
  </r>
  <r>
    <s v="ORD10654"/>
    <x v="2"/>
    <x v="19"/>
    <x v="3"/>
    <x v="2"/>
    <x v="0"/>
    <x v="19"/>
    <n v="6"/>
    <n v="39649"/>
    <n v="5"/>
    <n v="225999.3"/>
    <n v="11894.7"/>
    <s v="Unique Order ID"/>
  </r>
  <r>
    <s v="ORD10655"/>
    <x v="66"/>
    <x v="7"/>
    <x v="3"/>
    <x v="3"/>
    <x v="2"/>
    <x v="10"/>
    <n v="15"/>
    <n v="8042"/>
    <n v="0"/>
    <n v="120630"/>
    <n v="0"/>
    <s v="Unique Order ID"/>
  </r>
  <r>
    <s v="ORD10656"/>
    <x v="70"/>
    <x v="11"/>
    <x v="2"/>
    <x v="1"/>
    <x v="2"/>
    <x v="3"/>
    <n v="12"/>
    <n v="58862"/>
    <n v="5"/>
    <n v="671026.80000000005"/>
    <n v="35317.200000000004"/>
    <s v="Unique Order ID"/>
  </r>
  <r>
    <s v="ORD10657"/>
    <x v="7"/>
    <x v="7"/>
    <x v="2"/>
    <x v="0"/>
    <x v="2"/>
    <x v="3"/>
    <n v="9"/>
    <n v="26459"/>
    <n v="0"/>
    <n v="238131"/>
    <n v="0"/>
    <s v="Unique Order ID"/>
  </r>
  <r>
    <s v="ORD10658"/>
    <x v="29"/>
    <x v="1"/>
    <x v="2"/>
    <x v="0"/>
    <x v="1"/>
    <x v="4"/>
    <n v="11"/>
    <n v="24986"/>
    <n v="0"/>
    <n v="274846"/>
    <n v="0"/>
    <s v="Unique Order ID"/>
  </r>
  <r>
    <s v="ORD10659"/>
    <x v="85"/>
    <x v="0"/>
    <x v="3"/>
    <x v="2"/>
    <x v="1"/>
    <x v="16"/>
    <n v="6"/>
    <n v="59603"/>
    <n v="0"/>
    <n v="357618"/>
    <n v="0"/>
    <s v="Unique Order ID"/>
  </r>
  <r>
    <s v="ORD10660"/>
    <x v="46"/>
    <x v="9"/>
    <x v="0"/>
    <x v="1"/>
    <x v="2"/>
    <x v="13"/>
    <n v="9"/>
    <n v="9142"/>
    <n v="10"/>
    <n v="74050.2"/>
    <n v="8227.8000000000011"/>
    <s v="Unique Order ID"/>
  </r>
  <r>
    <s v="ORD10661"/>
    <x v="16"/>
    <x v="0"/>
    <x v="2"/>
    <x v="2"/>
    <x v="1"/>
    <x v="1"/>
    <n v="9"/>
    <n v="19693"/>
    <n v="0"/>
    <n v="177237"/>
    <n v="0"/>
    <s v="Unique Order ID"/>
  </r>
  <r>
    <s v="ORD10662"/>
    <x v="11"/>
    <x v="17"/>
    <x v="1"/>
    <x v="0"/>
    <x v="2"/>
    <x v="9"/>
    <n v="14"/>
    <n v="5638"/>
    <n v="0"/>
    <n v="78932"/>
    <n v="0"/>
    <s v="Unique Order ID"/>
  </r>
  <r>
    <s v="ORD10663"/>
    <x v="48"/>
    <x v="17"/>
    <x v="2"/>
    <x v="3"/>
    <x v="0"/>
    <x v="0"/>
    <n v="3"/>
    <n v="20198"/>
    <n v="15"/>
    <n v="51504.9"/>
    <n v="9089.1"/>
    <s v="Unique Order ID"/>
  </r>
  <r>
    <s v="ORD10664"/>
    <x v="77"/>
    <x v="7"/>
    <x v="2"/>
    <x v="1"/>
    <x v="1"/>
    <x v="16"/>
    <n v="6"/>
    <n v="4385"/>
    <n v="0"/>
    <n v="26310"/>
    <n v="0"/>
    <s v="Unique Order ID"/>
  </r>
  <r>
    <s v="ORD10665"/>
    <x v="87"/>
    <x v="3"/>
    <x v="1"/>
    <x v="1"/>
    <x v="1"/>
    <x v="20"/>
    <n v="14"/>
    <n v="9372"/>
    <n v="0"/>
    <n v="131208"/>
    <n v="0"/>
    <s v="Unique Order ID"/>
  </r>
  <r>
    <s v="ORD10666"/>
    <x v="74"/>
    <x v="15"/>
    <x v="0"/>
    <x v="3"/>
    <x v="1"/>
    <x v="5"/>
    <n v="6"/>
    <n v="21363"/>
    <n v="20"/>
    <n v="102542.39999999999"/>
    <n v="25635.600000000002"/>
    <s v="Unique Order ID"/>
  </r>
  <r>
    <s v="ORD10667"/>
    <x v="20"/>
    <x v="13"/>
    <x v="0"/>
    <x v="4"/>
    <x v="2"/>
    <x v="10"/>
    <n v="6"/>
    <n v="7740"/>
    <n v="15"/>
    <n v="39474"/>
    <n v="6966"/>
    <s v="Unique Order ID"/>
  </r>
  <r>
    <s v="ORD10668"/>
    <x v="3"/>
    <x v="14"/>
    <x v="0"/>
    <x v="0"/>
    <x v="2"/>
    <x v="9"/>
    <n v="10"/>
    <n v="24346"/>
    <n v="0"/>
    <n v="243460"/>
    <n v="0"/>
    <s v="Unique Order ID"/>
  </r>
  <r>
    <s v="ORD10669"/>
    <x v="75"/>
    <x v="8"/>
    <x v="1"/>
    <x v="3"/>
    <x v="1"/>
    <x v="23"/>
    <n v="12"/>
    <n v="18049"/>
    <n v="15"/>
    <n v="184099.8"/>
    <n v="32488.199999999997"/>
    <s v="Unique Order ID"/>
  </r>
  <r>
    <s v="ORD10670"/>
    <x v="76"/>
    <x v="4"/>
    <x v="0"/>
    <x v="0"/>
    <x v="0"/>
    <x v="12"/>
    <n v="4"/>
    <n v="57716"/>
    <n v="5"/>
    <n v="219320.8"/>
    <n v="11543.2"/>
    <s v="Unique Order ID"/>
  </r>
  <r>
    <s v="ORD10671"/>
    <x v="75"/>
    <x v="13"/>
    <x v="3"/>
    <x v="2"/>
    <x v="2"/>
    <x v="13"/>
    <n v="5"/>
    <n v="16990"/>
    <n v="0"/>
    <n v="84950"/>
    <n v="0"/>
    <s v="Unique Order ID"/>
  </r>
  <r>
    <s v="ORD10672"/>
    <x v="84"/>
    <x v="0"/>
    <x v="2"/>
    <x v="1"/>
    <x v="1"/>
    <x v="4"/>
    <n v="1"/>
    <n v="51264"/>
    <n v="10"/>
    <n v="46137.599999999999"/>
    <n v="5126.4000000000005"/>
    <s v="Unique Order ID"/>
  </r>
  <r>
    <s v="ORD10673"/>
    <x v="17"/>
    <x v="2"/>
    <x v="3"/>
    <x v="4"/>
    <x v="2"/>
    <x v="10"/>
    <n v="7"/>
    <n v="50560"/>
    <n v="5"/>
    <n v="336224"/>
    <n v="17696"/>
    <s v="Duplicate Order ID"/>
  </r>
  <r>
    <s v="ORD10673"/>
    <x v="54"/>
    <x v="9"/>
    <x v="1"/>
    <x v="2"/>
    <x v="1"/>
    <x v="11"/>
    <n v="3"/>
    <n v="6423"/>
    <n v="20"/>
    <n v="15415.2"/>
    <n v="3853.8"/>
    <s v="Duplicate Order ID"/>
  </r>
  <r>
    <s v="ORD10675"/>
    <x v="47"/>
    <x v="11"/>
    <x v="2"/>
    <x v="4"/>
    <x v="0"/>
    <x v="19"/>
    <n v="2"/>
    <n v="56463"/>
    <n v="5"/>
    <n v="107279.7"/>
    <n v="5646.3"/>
    <s v="Unique Order ID"/>
  </r>
  <r>
    <s v="ORD10676"/>
    <x v="82"/>
    <x v="10"/>
    <x v="2"/>
    <x v="4"/>
    <x v="0"/>
    <x v="19"/>
    <n v="15"/>
    <n v="20150"/>
    <n v="20"/>
    <n v="241800"/>
    <n v="60450"/>
    <s v="Unique Order ID"/>
  </r>
  <r>
    <s v="ORD10677"/>
    <x v="31"/>
    <x v="10"/>
    <x v="2"/>
    <x v="2"/>
    <x v="2"/>
    <x v="10"/>
    <n v="10"/>
    <n v="7554"/>
    <n v="10"/>
    <n v="67986"/>
    <n v="7554"/>
    <s v="Unique Order ID"/>
  </r>
  <r>
    <s v="ORD10678"/>
    <x v="66"/>
    <x v="5"/>
    <x v="3"/>
    <x v="0"/>
    <x v="0"/>
    <x v="21"/>
    <n v="6"/>
    <n v="35700"/>
    <n v="15"/>
    <n v="182070"/>
    <n v="32130"/>
    <s v="Unique Order ID"/>
  </r>
  <r>
    <s v="ORD10679"/>
    <x v="77"/>
    <x v="1"/>
    <x v="2"/>
    <x v="2"/>
    <x v="1"/>
    <x v="16"/>
    <n v="3"/>
    <n v="40349"/>
    <n v="5"/>
    <n v="114994.65"/>
    <n v="6052.35"/>
    <s v="Unique Order ID"/>
  </r>
  <r>
    <s v="ORD10680"/>
    <x v="31"/>
    <x v="10"/>
    <x v="3"/>
    <x v="0"/>
    <x v="1"/>
    <x v="16"/>
    <n v="6"/>
    <n v="26371"/>
    <n v="10"/>
    <n v="142403.4"/>
    <n v="15822.6"/>
    <s v="Unique Order ID"/>
  </r>
  <r>
    <s v="ORD10681"/>
    <x v="48"/>
    <x v="1"/>
    <x v="1"/>
    <x v="0"/>
    <x v="2"/>
    <x v="10"/>
    <n v="10"/>
    <n v="48090"/>
    <n v="5"/>
    <n v="456855"/>
    <n v="24045"/>
    <s v="Unique Order ID"/>
  </r>
  <r>
    <s v="ORD10682"/>
    <x v="29"/>
    <x v="9"/>
    <x v="0"/>
    <x v="0"/>
    <x v="0"/>
    <x v="0"/>
    <n v="2"/>
    <n v="31871"/>
    <n v="10"/>
    <n v="57367.8"/>
    <n v="6374.2000000000007"/>
    <s v="Unique Order ID"/>
  </r>
  <r>
    <s v="ORD10683"/>
    <x v="41"/>
    <x v="17"/>
    <x v="2"/>
    <x v="2"/>
    <x v="0"/>
    <x v="12"/>
    <n v="14"/>
    <n v="42191"/>
    <n v="10"/>
    <n v="531606.6"/>
    <n v="59067.4"/>
    <s v="Unique Order ID"/>
  </r>
  <r>
    <s v="ORD10684"/>
    <x v="8"/>
    <x v="0"/>
    <x v="2"/>
    <x v="2"/>
    <x v="2"/>
    <x v="13"/>
    <n v="7"/>
    <n v="21614"/>
    <n v="10"/>
    <n v="136168.20000000001"/>
    <n v="15129.800000000001"/>
    <s v="Unique Order ID"/>
  </r>
  <r>
    <s v="ORD10685"/>
    <x v="39"/>
    <x v="1"/>
    <x v="1"/>
    <x v="0"/>
    <x v="0"/>
    <x v="21"/>
    <n v="1"/>
    <n v="58976"/>
    <n v="5"/>
    <n v="56027.199999999997"/>
    <n v="2948.8"/>
    <s v="Unique Order ID"/>
  </r>
  <r>
    <s v="ORD10686"/>
    <x v="68"/>
    <x v="2"/>
    <x v="3"/>
    <x v="3"/>
    <x v="0"/>
    <x v="21"/>
    <n v="1"/>
    <n v="15102"/>
    <n v="5"/>
    <n v="14346.9"/>
    <n v="755.1"/>
    <s v="Unique Order ID"/>
  </r>
  <r>
    <s v="ORD10687"/>
    <x v="23"/>
    <x v="1"/>
    <x v="3"/>
    <x v="1"/>
    <x v="0"/>
    <x v="12"/>
    <n v="10"/>
    <n v="22082"/>
    <n v="15"/>
    <n v="187697"/>
    <n v="33123"/>
    <s v="Unique Order ID"/>
  </r>
  <r>
    <s v="ORD10688"/>
    <x v="12"/>
    <x v="15"/>
    <x v="1"/>
    <x v="2"/>
    <x v="0"/>
    <x v="14"/>
    <n v="14"/>
    <n v="33496"/>
    <n v="10"/>
    <n v="422049.6"/>
    <n v="46894.400000000001"/>
    <s v="Unique Order ID"/>
  </r>
  <r>
    <s v="ORD10689"/>
    <x v="74"/>
    <x v="16"/>
    <x v="3"/>
    <x v="1"/>
    <x v="2"/>
    <x v="13"/>
    <n v="3"/>
    <n v="26379"/>
    <n v="5"/>
    <n v="75180.149999999994"/>
    <n v="3956.8500000000004"/>
    <s v="Unique Order ID"/>
  </r>
  <r>
    <s v="ORD10690"/>
    <x v="47"/>
    <x v="15"/>
    <x v="2"/>
    <x v="0"/>
    <x v="0"/>
    <x v="0"/>
    <n v="15"/>
    <n v="57515"/>
    <n v="20"/>
    <n v="690180"/>
    <n v="172545"/>
    <s v="Unique Order ID"/>
  </r>
  <r>
    <s v="ORD10691"/>
    <x v="33"/>
    <x v="5"/>
    <x v="2"/>
    <x v="4"/>
    <x v="1"/>
    <x v="22"/>
    <n v="2"/>
    <n v="21726"/>
    <n v="5"/>
    <n v="41279.4"/>
    <n v="2172.6"/>
    <s v="Unique Order ID"/>
  </r>
  <r>
    <s v="ORD10692"/>
    <x v="44"/>
    <x v="0"/>
    <x v="1"/>
    <x v="2"/>
    <x v="1"/>
    <x v="4"/>
    <n v="2"/>
    <n v="26017"/>
    <n v="0"/>
    <n v="52034"/>
    <n v="0"/>
    <s v="Unique Order ID"/>
  </r>
  <r>
    <s v="ORD10693"/>
    <x v="20"/>
    <x v="5"/>
    <x v="3"/>
    <x v="1"/>
    <x v="2"/>
    <x v="10"/>
    <n v="10"/>
    <n v="47475"/>
    <n v="20"/>
    <n v="379800"/>
    <n v="94950"/>
    <s v="Unique Order ID"/>
  </r>
  <r>
    <s v="ORD10694"/>
    <x v="78"/>
    <x v="0"/>
    <x v="1"/>
    <x v="3"/>
    <x v="2"/>
    <x v="3"/>
    <n v="6"/>
    <n v="31776"/>
    <n v="15"/>
    <n v="162057.60000000001"/>
    <n v="28598.399999999998"/>
    <s v="Unique Order ID"/>
  </r>
  <r>
    <s v="ORD10695"/>
    <x v="46"/>
    <x v="0"/>
    <x v="2"/>
    <x v="2"/>
    <x v="0"/>
    <x v="0"/>
    <n v="7"/>
    <n v="30669"/>
    <n v="5"/>
    <n v="203948.85"/>
    <n v="10734.150000000001"/>
    <s v="Unique Order ID"/>
  </r>
  <r>
    <s v="ORD10696"/>
    <x v="75"/>
    <x v="18"/>
    <x v="0"/>
    <x v="2"/>
    <x v="2"/>
    <x v="21"/>
    <n v="2"/>
    <n v="37395"/>
    <n v="5"/>
    <n v="71050.5"/>
    <n v="3739.5"/>
    <s v="Unique Order ID"/>
  </r>
  <r>
    <s v="ORD10697"/>
    <x v="7"/>
    <x v="11"/>
    <x v="2"/>
    <x v="2"/>
    <x v="1"/>
    <x v="11"/>
    <n v="7"/>
    <n v="19867"/>
    <n v="0"/>
    <n v="139069"/>
    <n v="0"/>
    <s v="Unique Order ID"/>
  </r>
  <r>
    <s v="ORD10698"/>
    <x v="46"/>
    <x v="0"/>
    <x v="1"/>
    <x v="0"/>
    <x v="2"/>
    <x v="9"/>
    <n v="5"/>
    <n v="17187"/>
    <n v="0"/>
    <n v="85935"/>
    <n v="0"/>
    <s v="Unique Order ID"/>
  </r>
  <r>
    <s v="ORD10699"/>
    <x v="42"/>
    <x v="6"/>
    <x v="3"/>
    <x v="4"/>
    <x v="2"/>
    <x v="2"/>
    <n v="2"/>
    <n v="39000"/>
    <n v="15"/>
    <n v="66300"/>
    <n v="11700"/>
    <s v="Unique Order ID"/>
  </r>
  <r>
    <s v="ORD10700"/>
    <x v="13"/>
    <x v="3"/>
    <x v="3"/>
    <x v="1"/>
    <x v="1"/>
    <x v="11"/>
    <n v="15"/>
    <n v="28938"/>
    <n v="20"/>
    <n v="347256"/>
    <n v="86814"/>
    <s v="Unique Order ID"/>
  </r>
  <r>
    <s v="ORD10701"/>
    <x v="62"/>
    <x v="15"/>
    <x v="3"/>
    <x v="4"/>
    <x v="2"/>
    <x v="3"/>
    <n v="8"/>
    <n v="24320"/>
    <n v="15"/>
    <n v="165376"/>
    <n v="29184"/>
    <s v="Unique Order ID"/>
  </r>
  <r>
    <s v="ORD10702"/>
    <x v="76"/>
    <x v="18"/>
    <x v="2"/>
    <x v="0"/>
    <x v="1"/>
    <x v="6"/>
    <n v="9"/>
    <n v="31756"/>
    <n v="0"/>
    <n v="285804"/>
    <n v="0"/>
    <s v="Unique Order ID"/>
  </r>
  <r>
    <s v="ORD10703"/>
    <x v="19"/>
    <x v="3"/>
    <x v="0"/>
    <x v="0"/>
    <x v="1"/>
    <x v="22"/>
    <n v="4"/>
    <n v="3948"/>
    <n v="5"/>
    <n v="15002.4"/>
    <n v="789.6"/>
    <s v="Unique Order ID"/>
  </r>
  <r>
    <s v="ORD10704"/>
    <x v="50"/>
    <x v="16"/>
    <x v="3"/>
    <x v="3"/>
    <x v="2"/>
    <x v="13"/>
    <n v="14"/>
    <n v="18435"/>
    <n v="0"/>
    <n v="258090"/>
    <n v="0"/>
    <s v="Unique Order ID"/>
  </r>
  <r>
    <s v="ORD10705"/>
    <x v="20"/>
    <x v="1"/>
    <x v="1"/>
    <x v="3"/>
    <x v="1"/>
    <x v="5"/>
    <n v="7"/>
    <n v="23725"/>
    <n v="15"/>
    <n v="141163.75"/>
    <n v="24911.25"/>
    <s v="Unique Order ID"/>
  </r>
  <r>
    <s v="ORD10706"/>
    <x v="8"/>
    <x v="17"/>
    <x v="3"/>
    <x v="4"/>
    <x v="2"/>
    <x v="15"/>
    <n v="12"/>
    <n v="4411"/>
    <n v="0"/>
    <n v="52932"/>
    <n v="0"/>
    <s v="Unique Order ID"/>
  </r>
  <r>
    <s v="ORD10707"/>
    <x v="49"/>
    <x v="0"/>
    <x v="3"/>
    <x v="1"/>
    <x v="0"/>
    <x v="14"/>
    <n v="2"/>
    <n v="19992"/>
    <n v="5"/>
    <n v="37984.800000000003"/>
    <n v="1999.2"/>
    <s v="Unique Order ID"/>
  </r>
  <r>
    <s v="ORD10708"/>
    <x v="32"/>
    <x v="18"/>
    <x v="1"/>
    <x v="3"/>
    <x v="0"/>
    <x v="21"/>
    <n v="4.0000000000000009"/>
    <n v="17542"/>
    <n v="15"/>
    <n v="59642.8"/>
    <n v="10525.200000000003"/>
    <s v="Unique Order ID"/>
  </r>
  <r>
    <s v="ORD10709"/>
    <x v="64"/>
    <x v="18"/>
    <x v="2"/>
    <x v="3"/>
    <x v="0"/>
    <x v="17"/>
    <n v="11"/>
    <n v="43203"/>
    <n v="0"/>
    <n v="475233"/>
    <n v="0"/>
    <s v="Unique Order ID"/>
  </r>
  <r>
    <s v="ORD10710"/>
    <x v="20"/>
    <x v="1"/>
    <x v="1"/>
    <x v="1"/>
    <x v="2"/>
    <x v="13"/>
    <n v="8"/>
    <n v="37066"/>
    <n v="5"/>
    <n v="281701.59999999998"/>
    <n v="14826.400000000001"/>
    <s v="Unique Order ID"/>
  </r>
  <r>
    <s v="ORD10711"/>
    <x v="62"/>
    <x v="1"/>
    <x v="0"/>
    <x v="3"/>
    <x v="0"/>
    <x v="0"/>
    <n v="11"/>
    <n v="20186"/>
    <n v="15"/>
    <n v="188739.1"/>
    <n v="33306.9"/>
    <s v="Unique Order ID"/>
  </r>
  <r>
    <s v="ORD10712"/>
    <x v="57"/>
    <x v="12"/>
    <x v="2"/>
    <x v="4"/>
    <x v="0"/>
    <x v="14"/>
    <n v="2"/>
    <n v="17215"/>
    <n v="5"/>
    <n v="32708.5"/>
    <n v="1721.5"/>
    <s v="Unique Order ID"/>
  </r>
  <r>
    <s v="ORD10713"/>
    <x v="7"/>
    <x v="15"/>
    <x v="0"/>
    <x v="0"/>
    <x v="1"/>
    <x v="18"/>
    <n v="12"/>
    <n v="24857"/>
    <n v="20"/>
    <n v="238627.20000000001"/>
    <n v="59656.800000000003"/>
    <s v="Unique Order ID"/>
  </r>
  <r>
    <s v="ORD10714"/>
    <x v="57"/>
    <x v="19"/>
    <x v="0"/>
    <x v="4"/>
    <x v="2"/>
    <x v="9"/>
    <n v="3"/>
    <n v="22184"/>
    <n v="5"/>
    <n v="63224.4"/>
    <n v="3327.6000000000004"/>
    <s v="Unique Order ID"/>
  </r>
  <r>
    <s v="ORD10715"/>
    <x v="49"/>
    <x v="17"/>
    <x v="2"/>
    <x v="3"/>
    <x v="0"/>
    <x v="21"/>
    <n v="10"/>
    <n v="28551"/>
    <n v="20"/>
    <n v="228408"/>
    <n v="57102"/>
    <s v="Unique Order ID"/>
  </r>
  <r>
    <s v="ORD10716"/>
    <x v="68"/>
    <x v="13"/>
    <x v="0"/>
    <x v="1"/>
    <x v="1"/>
    <x v="7"/>
    <n v="14"/>
    <n v="58630"/>
    <n v="0"/>
    <n v="779779"/>
    <n v="0"/>
    <s v="Unique Order ID"/>
  </r>
  <r>
    <s v="ORD10717"/>
    <x v="1"/>
    <x v="16"/>
    <x v="2"/>
    <x v="0"/>
    <x v="2"/>
    <x v="3"/>
    <n v="5"/>
    <n v="17042"/>
    <n v="20"/>
    <n v="68168"/>
    <n v="17042"/>
    <s v="Unique Order ID"/>
  </r>
  <r>
    <s v="ORD10718"/>
    <x v="87"/>
    <x v="17"/>
    <x v="3"/>
    <x v="2"/>
    <x v="0"/>
    <x v="12"/>
    <n v="8"/>
    <n v="41104"/>
    <n v="5"/>
    <n v="312390.40000000002"/>
    <n v="16441.600000000002"/>
    <s v="Duplicate Order ID"/>
  </r>
  <r>
    <s v="ORD10718"/>
    <x v="15"/>
    <x v="19"/>
    <x v="0"/>
    <x v="2"/>
    <x v="0"/>
    <x v="17"/>
    <n v="5"/>
    <n v="41726"/>
    <n v="20"/>
    <n v="166904"/>
    <n v="41726"/>
    <s v="Duplicate Order ID"/>
  </r>
  <r>
    <s v="ORD10720"/>
    <x v="5"/>
    <x v="11"/>
    <x v="1"/>
    <x v="3"/>
    <x v="1"/>
    <x v="23"/>
    <n v="1"/>
    <n v="32293"/>
    <n v="0"/>
    <n v="32293"/>
    <n v="0"/>
    <s v="Unique Order ID"/>
  </r>
  <r>
    <s v="ORD10721"/>
    <x v="88"/>
    <x v="11"/>
    <x v="0"/>
    <x v="1"/>
    <x v="2"/>
    <x v="2"/>
    <n v="14"/>
    <n v="19558"/>
    <n v="0"/>
    <n v="273812"/>
    <n v="0"/>
    <s v="Unique Order ID"/>
  </r>
  <r>
    <s v="ORD10722"/>
    <x v="74"/>
    <x v="14"/>
    <x v="2"/>
    <x v="3"/>
    <x v="1"/>
    <x v="16"/>
    <n v="7"/>
    <n v="8711"/>
    <n v="5"/>
    <n v="57928.15"/>
    <n v="3048.8500000000004"/>
    <s v="Unique Order ID"/>
  </r>
  <r>
    <s v="ORD10723"/>
    <x v="28"/>
    <x v="17"/>
    <x v="1"/>
    <x v="3"/>
    <x v="1"/>
    <x v="1"/>
    <n v="6"/>
    <n v="1117"/>
    <n v="0"/>
    <n v="6702"/>
    <n v="0"/>
    <s v="Unique Order ID"/>
  </r>
  <r>
    <s v="ORD10724"/>
    <x v="49"/>
    <x v="0"/>
    <x v="2"/>
    <x v="1"/>
    <x v="1"/>
    <x v="20"/>
    <n v="14"/>
    <n v="11101"/>
    <n v="0"/>
    <n v="155414"/>
    <n v="0"/>
    <s v="Unique Order ID"/>
  </r>
  <r>
    <s v="ORD10725"/>
    <x v="28"/>
    <x v="3"/>
    <x v="1"/>
    <x v="2"/>
    <x v="2"/>
    <x v="9"/>
    <n v="6"/>
    <n v="6013"/>
    <n v="15"/>
    <n v="30666.3"/>
    <n v="5411.7"/>
    <s v="Unique Order ID"/>
  </r>
  <r>
    <s v="ORD10726"/>
    <x v="22"/>
    <x v="4"/>
    <x v="3"/>
    <x v="1"/>
    <x v="0"/>
    <x v="0"/>
    <n v="11"/>
    <n v="32955"/>
    <n v="5"/>
    <n v="344379.75"/>
    <n v="18125.25"/>
    <s v="Unique Order ID"/>
  </r>
  <r>
    <s v="ORD10727"/>
    <x v="0"/>
    <x v="0"/>
    <x v="3"/>
    <x v="0"/>
    <x v="1"/>
    <x v="11"/>
    <n v="14"/>
    <n v="51100"/>
    <n v="5"/>
    <n v="679630"/>
    <n v="35770"/>
    <s v="Unique Order ID"/>
  </r>
  <r>
    <s v="ORD10728"/>
    <x v="19"/>
    <x v="10"/>
    <x v="0"/>
    <x v="1"/>
    <x v="1"/>
    <x v="5"/>
    <n v="3"/>
    <n v="27604"/>
    <n v="20"/>
    <n v="66249.600000000006"/>
    <n v="16562.400000000001"/>
    <s v="Unique Order ID"/>
  </r>
  <r>
    <s v="ORD10729"/>
    <x v="15"/>
    <x v="7"/>
    <x v="3"/>
    <x v="0"/>
    <x v="0"/>
    <x v="17"/>
    <n v="11"/>
    <n v="48714"/>
    <n v="20"/>
    <n v="428683.2"/>
    <n v="107170.8"/>
    <s v="Unique Order ID"/>
  </r>
  <r>
    <s v="ORD10730"/>
    <x v="1"/>
    <x v="16"/>
    <x v="1"/>
    <x v="4"/>
    <x v="1"/>
    <x v="11"/>
    <n v="1"/>
    <n v="54845"/>
    <n v="5"/>
    <n v="52102.75"/>
    <n v="2742.25"/>
    <s v="Unique Order ID"/>
  </r>
  <r>
    <s v="ORD10731"/>
    <x v="10"/>
    <x v="7"/>
    <x v="3"/>
    <x v="1"/>
    <x v="0"/>
    <x v="17"/>
    <n v="10"/>
    <n v="24559"/>
    <n v="20"/>
    <n v="196472"/>
    <n v="49118"/>
    <s v="Unique Order ID"/>
  </r>
  <r>
    <s v="ORD10732"/>
    <x v="71"/>
    <x v="0"/>
    <x v="1"/>
    <x v="4"/>
    <x v="0"/>
    <x v="8"/>
    <n v="2"/>
    <n v="7798"/>
    <n v="0"/>
    <n v="15596"/>
    <n v="0"/>
    <s v="Unique Order ID"/>
  </r>
  <r>
    <s v="ORD10733"/>
    <x v="51"/>
    <x v="12"/>
    <x v="3"/>
    <x v="3"/>
    <x v="1"/>
    <x v="20"/>
    <n v="9"/>
    <n v="50656"/>
    <n v="20"/>
    <n v="364723.20000000001"/>
    <n v="91180.800000000003"/>
    <s v="Unique Order ID"/>
  </r>
  <r>
    <s v="ORD10734"/>
    <x v="89"/>
    <x v="7"/>
    <x v="0"/>
    <x v="1"/>
    <x v="1"/>
    <x v="11"/>
    <n v="5"/>
    <n v="45186"/>
    <n v="5"/>
    <n v="214633.5"/>
    <n v="11296.5"/>
    <s v="Unique Order ID"/>
  </r>
  <r>
    <s v="ORD10735"/>
    <x v="39"/>
    <x v="6"/>
    <x v="3"/>
    <x v="1"/>
    <x v="2"/>
    <x v="10"/>
    <n v="9"/>
    <n v="4890"/>
    <n v="15"/>
    <n v="37408.5"/>
    <n v="6601.5"/>
    <s v="Unique Order ID"/>
  </r>
  <r>
    <s v="ORD10736"/>
    <x v="54"/>
    <x v="16"/>
    <x v="3"/>
    <x v="2"/>
    <x v="0"/>
    <x v="12"/>
    <n v="14"/>
    <n v="28658"/>
    <n v="0"/>
    <n v="401212"/>
    <n v="0"/>
    <s v="Unique Order ID"/>
  </r>
  <r>
    <s v="ORD10737"/>
    <x v="61"/>
    <x v="19"/>
    <x v="1"/>
    <x v="2"/>
    <x v="0"/>
    <x v="21"/>
    <n v="14"/>
    <n v="11830"/>
    <n v="0"/>
    <n v="165620"/>
    <n v="0"/>
    <s v="Unique Order ID"/>
  </r>
  <r>
    <s v="ORD10738"/>
    <x v="7"/>
    <x v="12"/>
    <x v="2"/>
    <x v="4"/>
    <x v="1"/>
    <x v="5"/>
    <n v="5"/>
    <n v="36766"/>
    <n v="5"/>
    <n v="174638.5"/>
    <n v="9191.5"/>
    <s v="Unique Order ID"/>
  </r>
  <r>
    <s v="ORD10739"/>
    <x v="42"/>
    <x v="5"/>
    <x v="0"/>
    <x v="2"/>
    <x v="1"/>
    <x v="11"/>
    <n v="4"/>
    <n v="58433"/>
    <n v="0"/>
    <n v="233732"/>
    <n v="0"/>
    <s v="Unique Order ID"/>
  </r>
  <r>
    <s v="ORD10740"/>
    <x v="83"/>
    <x v="19"/>
    <x v="2"/>
    <x v="2"/>
    <x v="1"/>
    <x v="20"/>
    <n v="5"/>
    <n v="4095"/>
    <n v="5"/>
    <n v="19451.25"/>
    <n v="1023.75"/>
    <s v="Unique Order ID"/>
  </r>
  <r>
    <s v="ORD10741"/>
    <x v="27"/>
    <x v="15"/>
    <x v="1"/>
    <x v="1"/>
    <x v="0"/>
    <x v="0"/>
    <n v="6"/>
    <n v="3931"/>
    <n v="5"/>
    <n v="22406.7"/>
    <n v="1179.3"/>
    <s v="Unique Order ID"/>
  </r>
  <r>
    <s v="ORD10742"/>
    <x v="84"/>
    <x v="10"/>
    <x v="3"/>
    <x v="1"/>
    <x v="2"/>
    <x v="9"/>
    <n v="3"/>
    <n v="13151"/>
    <n v="20"/>
    <n v="31562.400000000001"/>
    <n v="7890.6"/>
    <s v="Unique Order ID"/>
  </r>
  <r>
    <s v="ORD10743"/>
    <x v="53"/>
    <x v="11"/>
    <x v="2"/>
    <x v="2"/>
    <x v="0"/>
    <x v="21"/>
    <n v="14"/>
    <n v="14498"/>
    <n v="5"/>
    <n v="192823.4"/>
    <n v="10148.6"/>
    <s v="Unique Order ID"/>
  </r>
  <r>
    <s v="ORD10744"/>
    <x v="78"/>
    <x v="1"/>
    <x v="2"/>
    <x v="1"/>
    <x v="2"/>
    <x v="15"/>
    <n v="11"/>
    <n v="32365"/>
    <n v="0"/>
    <n v="356015"/>
    <n v="0"/>
    <s v="Unique Order ID"/>
  </r>
  <r>
    <s v="ORD10745"/>
    <x v="51"/>
    <x v="10"/>
    <x v="1"/>
    <x v="2"/>
    <x v="2"/>
    <x v="15"/>
    <n v="4"/>
    <n v="23492"/>
    <n v="20"/>
    <n v="75174.399999999994"/>
    <n v="18793.600000000002"/>
    <s v="Unique Order ID"/>
  </r>
  <r>
    <s v="ORD10746"/>
    <x v="59"/>
    <x v="11"/>
    <x v="1"/>
    <x v="2"/>
    <x v="0"/>
    <x v="0"/>
    <n v="15"/>
    <n v="42963"/>
    <n v="0"/>
    <n v="644445"/>
    <n v="0"/>
    <s v="Unique Order ID"/>
  </r>
  <r>
    <s v="ORD10747"/>
    <x v="85"/>
    <x v="5"/>
    <x v="2"/>
    <x v="4"/>
    <x v="0"/>
    <x v="21"/>
    <n v="5"/>
    <n v="36662"/>
    <n v="5"/>
    <n v="174144.5"/>
    <n v="9165.5"/>
    <s v="Unique Order ID"/>
  </r>
  <r>
    <s v="ORD10748"/>
    <x v="69"/>
    <x v="12"/>
    <x v="0"/>
    <x v="0"/>
    <x v="0"/>
    <x v="19"/>
    <n v="15"/>
    <n v="16570"/>
    <n v="10"/>
    <n v="223695"/>
    <n v="24855"/>
    <s v="Unique Order ID"/>
  </r>
  <r>
    <s v="ORD10749"/>
    <x v="30"/>
    <x v="3"/>
    <x v="3"/>
    <x v="4"/>
    <x v="0"/>
    <x v="12"/>
    <n v="12"/>
    <n v="7543"/>
    <n v="15"/>
    <n v="76938.600000000006"/>
    <n v="13577.4"/>
    <s v="Unique Order ID"/>
  </r>
  <r>
    <s v="ORD10750"/>
    <x v="2"/>
    <x v="9"/>
    <x v="0"/>
    <x v="2"/>
    <x v="1"/>
    <x v="6"/>
    <n v="6"/>
    <n v="12624"/>
    <n v="0"/>
    <n v="71956.800000000003"/>
    <n v="0"/>
    <s v="Unique Order ID"/>
  </r>
  <r>
    <s v="ORD10751"/>
    <x v="25"/>
    <x v="3"/>
    <x v="2"/>
    <x v="0"/>
    <x v="2"/>
    <x v="3"/>
    <n v="11"/>
    <n v="36986"/>
    <n v="0"/>
    <n v="406846"/>
    <n v="0"/>
    <s v="Unique Order ID"/>
  </r>
  <r>
    <s v="ORD10752"/>
    <x v="70"/>
    <x v="15"/>
    <x v="0"/>
    <x v="4"/>
    <x v="0"/>
    <x v="18"/>
    <n v="13"/>
    <n v="55379"/>
    <n v="5"/>
    <n v="683930.65"/>
    <n v="35996.35"/>
    <s v="Unique Order ID"/>
  </r>
  <r>
    <s v="ORD10753"/>
    <x v="67"/>
    <x v="7"/>
    <x v="3"/>
    <x v="1"/>
    <x v="0"/>
    <x v="18"/>
    <n v="7"/>
    <n v="19788"/>
    <n v="0"/>
    <n v="138516"/>
    <n v="0"/>
    <s v="Unique Order ID"/>
  </r>
  <r>
    <s v="ORD10754"/>
    <x v="33"/>
    <x v="17"/>
    <x v="2"/>
    <x v="2"/>
    <x v="2"/>
    <x v="10"/>
    <n v="7"/>
    <n v="42800"/>
    <n v="15"/>
    <n v="254660"/>
    <n v="44940"/>
    <s v="Unique Order ID"/>
  </r>
  <r>
    <s v="ORD10755"/>
    <x v="84"/>
    <x v="9"/>
    <x v="0"/>
    <x v="4"/>
    <x v="1"/>
    <x v="5"/>
    <n v="5"/>
    <n v="2557"/>
    <n v="5"/>
    <n v="12145.75"/>
    <n v="639.25"/>
    <s v="Unique Order ID"/>
  </r>
  <r>
    <s v="ORD10756"/>
    <x v="71"/>
    <x v="18"/>
    <x v="3"/>
    <x v="1"/>
    <x v="2"/>
    <x v="13"/>
    <n v="9"/>
    <n v="28998"/>
    <n v="20"/>
    <n v="208785.6"/>
    <n v="52196.4"/>
    <s v="Unique Order ID"/>
  </r>
  <r>
    <s v="ORD10757"/>
    <x v="1"/>
    <x v="0"/>
    <x v="2"/>
    <x v="2"/>
    <x v="2"/>
    <x v="9"/>
    <n v="13"/>
    <n v="19382"/>
    <n v="20"/>
    <n v="201572.8"/>
    <n v="50393.200000000004"/>
    <s v="Unique Order ID"/>
  </r>
  <r>
    <s v="ORD10758"/>
    <x v="16"/>
    <x v="2"/>
    <x v="2"/>
    <x v="0"/>
    <x v="2"/>
    <x v="3"/>
    <n v="11"/>
    <n v="1076"/>
    <n v="20"/>
    <n v="9468.7999999999993"/>
    <n v="2367.2000000000003"/>
    <s v="Unique Order ID"/>
  </r>
  <r>
    <s v="ORD10759"/>
    <x v="29"/>
    <x v="15"/>
    <x v="0"/>
    <x v="4"/>
    <x v="1"/>
    <x v="16"/>
    <n v="10"/>
    <n v="22715"/>
    <n v="5"/>
    <n v="215792.5"/>
    <n v="11357.5"/>
    <s v="Unique Order ID"/>
  </r>
  <r>
    <s v="ORD10760"/>
    <x v="31"/>
    <x v="17"/>
    <x v="2"/>
    <x v="1"/>
    <x v="1"/>
    <x v="11"/>
    <n v="3"/>
    <n v="34482"/>
    <n v="15"/>
    <n v="87929.1"/>
    <n v="15516.9"/>
    <s v="Unique Order ID"/>
  </r>
  <r>
    <s v="ORD10761"/>
    <x v="86"/>
    <x v="14"/>
    <x v="2"/>
    <x v="0"/>
    <x v="2"/>
    <x v="9"/>
    <n v="8"/>
    <n v="21450"/>
    <n v="0"/>
    <n v="171600"/>
    <n v="0"/>
    <s v="Unique Order ID"/>
  </r>
  <r>
    <s v="ORD10762"/>
    <x v="28"/>
    <x v="0"/>
    <x v="3"/>
    <x v="3"/>
    <x v="1"/>
    <x v="5"/>
    <n v="8"/>
    <n v="6007"/>
    <n v="0"/>
    <n v="48056"/>
    <n v="0"/>
    <s v="Unique Order ID"/>
  </r>
  <r>
    <s v="ORD10763"/>
    <x v="11"/>
    <x v="16"/>
    <x v="1"/>
    <x v="3"/>
    <x v="2"/>
    <x v="2"/>
    <n v="7"/>
    <n v="23829"/>
    <n v="5"/>
    <n v="158462.85"/>
    <n v="8340.15"/>
    <s v="Unique Order ID"/>
  </r>
  <r>
    <s v="ORD10764"/>
    <x v="6"/>
    <x v="10"/>
    <x v="1"/>
    <x v="3"/>
    <x v="1"/>
    <x v="1"/>
    <n v="5"/>
    <n v="17427"/>
    <n v="20"/>
    <n v="69708"/>
    <n v="17427"/>
    <s v="Unique Order ID"/>
  </r>
  <r>
    <s v="ORD10765"/>
    <x v="1"/>
    <x v="5"/>
    <x v="0"/>
    <x v="0"/>
    <x v="2"/>
    <x v="15"/>
    <n v="4"/>
    <n v="18819"/>
    <n v="0"/>
    <n v="75276"/>
    <n v="0"/>
    <s v="Unique Order ID"/>
  </r>
  <r>
    <s v="ORD10766"/>
    <x v="67"/>
    <x v="1"/>
    <x v="2"/>
    <x v="4"/>
    <x v="0"/>
    <x v="8"/>
    <n v="11"/>
    <n v="16373"/>
    <n v="15"/>
    <n v="153087.54999999999"/>
    <n v="27015.45"/>
    <s v="Unique Order ID"/>
  </r>
  <r>
    <s v="ORD10767"/>
    <x v="37"/>
    <x v="2"/>
    <x v="1"/>
    <x v="4"/>
    <x v="0"/>
    <x v="21"/>
    <n v="8"/>
    <n v="28951"/>
    <n v="0"/>
    <n v="231608"/>
    <n v="0"/>
    <s v="Unique Order ID"/>
  </r>
  <r>
    <s v="ORD10768"/>
    <x v="44"/>
    <x v="18"/>
    <x v="3"/>
    <x v="4"/>
    <x v="1"/>
    <x v="23"/>
    <n v="11"/>
    <n v="19438"/>
    <n v="10"/>
    <n v="192436.2"/>
    <n v="21381.800000000003"/>
    <s v="Unique Order ID"/>
  </r>
  <r>
    <s v="ORD10769"/>
    <x v="33"/>
    <x v="10"/>
    <x v="3"/>
    <x v="3"/>
    <x v="0"/>
    <x v="0"/>
    <n v="14"/>
    <n v="42276"/>
    <n v="5"/>
    <n v="562270.80000000005"/>
    <n v="29593.200000000001"/>
    <s v="Unique Order ID"/>
  </r>
  <r>
    <s v="ORD10770"/>
    <x v="56"/>
    <x v="8"/>
    <x v="1"/>
    <x v="0"/>
    <x v="0"/>
    <x v="8"/>
    <n v="8"/>
    <n v="39617"/>
    <n v="0"/>
    <n v="316936"/>
    <n v="0"/>
    <s v="Unique Order ID"/>
  </r>
  <r>
    <s v="ORD10771"/>
    <x v="44"/>
    <x v="7"/>
    <x v="3"/>
    <x v="4"/>
    <x v="2"/>
    <x v="15"/>
    <n v="4"/>
    <n v="7558"/>
    <n v="15"/>
    <n v="25697.200000000001"/>
    <n v="4534.8"/>
    <s v="Unique Order ID"/>
  </r>
  <r>
    <s v="ORD10772"/>
    <x v="89"/>
    <x v="15"/>
    <x v="1"/>
    <x v="4"/>
    <x v="2"/>
    <x v="9"/>
    <n v="8"/>
    <n v="57514"/>
    <n v="0"/>
    <n v="437106.4"/>
    <n v="0"/>
    <s v="Unique Order ID"/>
  </r>
  <r>
    <s v="ORD10773"/>
    <x v="22"/>
    <x v="6"/>
    <x v="2"/>
    <x v="3"/>
    <x v="1"/>
    <x v="1"/>
    <n v="5"/>
    <n v="46267"/>
    <n v="10"/>
    <n v="208201.5"/>
    <n v="23133.5"/>
    <s v="Unique Order ID"/>
  </r>
  <r>
    <s v="ORD10774"/>
    <x v="61"/>
    <x v="4"/>
    <x v="0"/>
    <x v="0"/>
    <x v="2"/>
    <x v="13"/>
    <n v="6"/>
    <n v="19695"/>
    <n v="0"/>
    <n v="94536"/>
    <n v="0"/>
    <s v="Unique Order ID"/>
  </r>
  <r>
    <s v="ORD10775"/>
    <x v="39"/>
    <x v="19"/>
    <x v="3"/>
    <x v="4"/>
    <x v="1"/>
    <x v="23"/>
    <n v="9"/>
    <n v="55734"/>
    <n v="20"/>
    <n v="401284.8"/>
    <n v="100321.20000000001"/>
    <s v="Unique Order ID"/>
  </r>
  <r>
    <s v="ORD10776"/>
    <x v="39"/>
    <x v="1"/>
    <x v="1"/>
    <x v="2"/>
    <x v="0"/>
    <x v="0"/>
    <n v="7"/>
    <n v="8776"/>
    <n v="15"/>
    <n v="52217.2"/>
    <n v="9214.7999999999993"/>
    <s v="Unique Order ID"/>
  </r>
  <r>
    <s v="ORD10777"/>
    <x v="20"/>
    <x v="10"/>
    <x v="3"/>
    <x v="1"/>
    <x v="2"/>
    <x v="2"/>
    <n v="10"/>
    <n v="13767"/>
    <n v="0"/>
    <n v="137670"/>
    <n v="0"/>
    <s v="Unique Order ID"/>
  </r>
  <r>
    <s v="ORD10778"/>
    <x v="84"/>
    <x v="1"/>
    <x v="2"/>
    <x v="3"/>
    <x v="1"/>
    <x v="23"/>
    <n v="11"/>
    <n v="58669"/>
    <n v="0"/>
    <n v="645359"/>
    <n v="0"/>
    <s v="Unique Order ID"/>
  </r>
  <r>
    <s v="ORD10779"/>
    <x v="64"/>
    <x v="16"/>
    <x v="2"/>
    <x v="0"/>
    <x v="1"/>
    <x v="16"/>
    <n v="9"/>
    <n v="20918"/>
    <n v="0"/>
    <n v="188262"/>
    <n v="0"/>
    <s v="Unique Order ID"/>
  </r>
  <r>
    <s v="ORD10780"/>
    <x v="9"/>
    <x v="3"/>
    <x v="2"/>
    <x v="1"/>
    <x v="2"/>
    <x v="15"/>
    <n v="15"/>
    <n v="27585"/>
    <n v="15"/>
    <n v="351708.75"/>
    <n v="62066.25"/>
    <s v="Unique Order ID"/>
  </r>
  <r>
    <s v="ORD10781"/>
    <x v="16"/>
    <x v="2"/>
    <x v="1"/>
    <x v="2"/>
    <x v="1"/>
    <x v="1"/>
    <n v="14"/>
    <n v="18514"/>
    <n v="20"/>
    <n v="207356.79999999999"/>
    <n v="51839.200000000004"/>
    <s v="Unique Order ID"/>
  </r>
  <r>
    <s v="ORD10782"/>
    <x v="39"/>
    <x v="4"/>
    <x v="3"/>
    <x v="1"/>
    <x v="1"/>
    <x v="6"/>
    <n v="5"/>
    <n v="7035"/>
    <n v="5"/>
    <n v="33416.25"/>
    <n v="1758.75"/>
    <s v="Unique Order ID"/>
  </r>
  <r>
    <s v="ORD10783"/>
    <x v="75"/>
    <x v="5"/>
    <x v="1"/>
    <x v="2"/>
    <x v="1"/>
    <x v="23"/>
    <n v="10"/>
    <n v="49271"/>
    <n v="0"/>
    <n v="492710"/>
    <n v="0"/>
    <s v="Unique Order ID"/>
  </r>
  <r>
    <s v="ORD10784"/>
    <x v="5"/>
    <x v="6"/>
    <x v="1"/>
    <x v="3"/>
    <x v="0"/>
    <x v="8"/>
    <n v="12"/>
    <n v="54655"/>
    <n v="20"/>
    <n v="524688"/>
    <n v="131172"/>
    <s v="Unique Order ID"/>
  </r>
  <r>
    <s v="ORD10785"/>
    <x v="6"/>
    <x v="3"/>
    <x v="2"/>
    <x v="3"/>
    <x v="2"/>
    <x v="3"/>
    <n v="14"/>
    <n v="1133"/>
    <n v="10"/>
    <n v="14275.8"/>
    <n v="1586.2"/>
    <s v="Unique Order ID"/>
  </r>
  <r>
    <s v="ORD10786"/>
    <x v="90"/>
    <x v="4"/>
    <x v="3"/>
    <x v="2"/>
    <x v="2"/>
    <x v="10"/>
    <n v="8"/>
    <n v="56402"/>
    <n v="0"/>
    <n v="451216"/>
    <n v="0"/>
    <s v="Unique Order ID"/>
  </r>
  <r>
    <s v="ORD10787"/>
    <x v="84"/>
    <x v="13"/>
    <x v="1"/>
    <x v="4"/>
    <x v="2"/>
    <x v="2"/>
    <n v="13"/>
    <n v="21378"/>
    <n v="10"/>
    <n v="250122.6"/>
    <n v="27791.4"/>
    <s v="Unique Order ID"/>
  </r>
  <r>
    <s v="ORD10788"/>
    <x v="60"/>
    <x v="3"/>
    <x v="2"/>
    <x v="2"/>
    <x v="0"/>
    <x v="17"/>
    <n v="9"/>
    <n v="46405"/>
    <n v="0"/>
    <n v="417645"/>
    <n v="0"/>
    <s v="Unique Order ID"/>
  </r>
  <r>
    <s v="ORD10789"/>
    <x v="32"/>
    <x v="14"/>
    <x v="3"/>
    <x v="3"/>
    <x v="2"/>
    <x v="2"/>
    <n v="8"/>
    <n v="42823"/>
    <n v="10"/>
    <n v="308325.59999999998"/>
    <n v="34258.400000000001"/>
    <s v="Unique Order ID"/>
  </r>
  <r>
    <s v="ORD10790"/>
    <x v="34"/>
    <x v="15"/>
    <x v="3"/>
    <x v="4"/>
    <x v="1"/>
    <x v="7"/>
    <n v="8"/>
    <n v="58588"/>
    <n v="0"/>
    <n v="421833.6"/>
    <n v="0"/>
    <s v="Unique Order ID"/>
  </r>
  <r>
    <s v="ORD10791"/>
    <x v="60"/>
    <x v="0"/>
    <x v="2"/>
    <x v="4"/>
    <x v="1"/>
    <x v="7"/>
    <n v="6"/>
    <n v="44075"/>
    <n v="0"/>
    <n v="264450"/>
    <n v="0"/>
    <s v="Unique Order ID"/>
  </r>
  <r>
    <s v="ORD10792"/>
    <x v="51"/>
    <x v="13"/>
    <x v="1"/>
    <x v="3"/>
    <x v="0"/>
    <x v="8"/>
    <n v="9"/>
    <n v="52118"/>
    <n v="5"/>
    <n v="445608.9"/>
    <n v="23453.100000000002"/>
    <s v="Unique Order ID"/>
  </r>
  <r>
    <s v="ORD10793"/>
    <x v="31"/>
    <x v="4"/>
    <x v="2"/>
    <x v="0"/>
    <x v="1"/>
    <x v="22"/>
    <n v="9"/>
    <n v="19454"/>
    <n v="15"/>
    <n v="148823.1"/>
    <n v="26262.899999999998"/>
    <s v="Unique Order ID"/>
  </r>
  <r>
    <s v="ORD10794"/>
    <x v="8"/>
    <x v="9"/>
    <x v="2"/>
    <x v="0"/>
    <x v="2"/>
    <x v="13"/>
    <n v="15"/>
    <n v="53548"/>
    <n v="0"/>
    <n v="803220"/>
    <n v="0"/>
    <s v="Unique Order ID"/>
  </r>
  <r>
    <s v="ORD10795"/>
    <x v="29"/>
    <x v="14"/>
    <x v="3"/>
    <x v="2"/>
    <x v="2"/>
    <x v="15"/>
    <n v="12"/>
    <n v="10610"/>
    <n v="0"/>
    <n v="127320"/>
    <n v="0"/>
    <s v="Unique Order ID"/>
  </r>
  <r>
    <s v="ORD10796"/>
    <x v="31"/>
    <x v="13"/>
    <x v="2"/>
    <x v="4"/>
    <x v="2"/>
    <x v="10"/>
    <n v="3"/>
    <n v="37350"/>
    <n v="0"/>
    <n v="100845"/>
    <n v="0"/>
    <s v="Unique Order ID"/>
  </r>
  <r>
    <s v="ORD10797"/>
    <x v="59"/>
    <x v="11"/>
    <x v="0"/>
    <x v="4"/>
    <x v="0"/>
    <x v="14"/>
    <n v="6"/>
    <n v="3073"/>
    <n v="5"/>
    <n v="17516.099999999999"/>
    <n v="921.90000000000009"/>
    <s v="Unique Order ID"/>
  </r>
  <r>
    <s v="ORD10798"/>
    <x v="35"/>
    <x v="16"/>
    <x v="2"/>
    <x v="3"/>
    <x v="2"/>
    <x v="8"/>
    <n v="13"/>
    <n v="45892"/>
    <n v="0"/>
    <n v="596596"/>
    <n v="0"/>
    <s v="Duplicate Order ID"/>
  </r>
  <r>
    <s v="ORD10798"/>
    <x v="31"/>
    <x v="8"/>
    <x v="1"/>
    <x v="4"/>
    <x v="2"/>
    <x v="10"/>
    <n v="6"/>
    <n v="31537"/>
    <n v="0"/>
    <n v="189222"/>
    <n v="0"/>
    <s v="Duplicate Order ID"/>
  </r>
  <r>
    <s v="ORD10800"/>
    <x v="35"/>
    <x v="17"/>
    <x v="2"/>
    <x v="4"/>
    <x v="1"/>
    <x v="20"/>
    <n v="8"/>
    <n v="15464"/>
    <n v="0"/>
    <n v="123712"/>
    <n v="0"/>
    <s v="Unique Order ID"/>
  </r>
  <r>
    <s v="ORD10801"/>
    <x v="20"/>
    <x v="11"/>
    <x v="3"/>
    <x v="0"/>
    <x v="1"/>
    <x v="7"/>
    <n v="4"/>
    <n v="37884"/>
    <n v="20"/>
    <n v="121228.8"/>
    <n v="30307.200000000001"/>
    <s v="Unique Order ID"/>
  </r>
  <r>
    <s v="ORD10802"/>
    <x v="76"/>
    <x v="3"/>
    <x v="1"/>
    <x v="1"/>
    <x v="1"/>
    <x v="1"/>
    <n v="11"/>
    <n v="34562"/>
    <n v="5"/>
    <n v="361172.9"/>
    <n v="19009.100000000002"/>
    <s v="Unique Order ID"/>
  </r>
  <r>
    <s v="ORD10803"/>
    <x v="59"/>
    <x v="9"/>
    <x v="1"/>
    <x v="0"/>
    <x v="2"/>
    <x v="10"/>
    <n v="15"/>
    <n v="34067"/>
    <n v="10"/>
    <n v="459904.5"/>
    <n v="51100.5"/>
    <s v="Unique Order ID"/>
  </r>
  <r>
    <s v="ORD10804"/>
    <x v="52"/>
    <x v="5"/>
    <x v="2"/>
    <x v="2"/>
    <x v="0"/>
    <x v="21"/>
    <n v="3"/>
    <n v="39784"/>
    <n v="0"/>
    <n v="119352"/>
    <n v="0"/>
    <s v="Unique Order ID"/>
  </r>
  <r>
    <s v="ORD10805"/>
    <x v="62"/>
    <x v="19"/>
    <x v="1"/>
    <x v="2"/>
    <x v="2"/>
    <x v="10"/>
    <n v="6"/>
    <n v="2763"/>
    <n v="20"/>
    <n v="13262.4"/>
    <n v="3315.6000000000004"/>
    <s v="Unique Order ID"/>
  </r>
  <r>
    <s v="ORD10806"/>
    <x v="69"/>
    <x v="4"/>
    <x v="2"/>
    <x v="2"/>
    <x v="1"/>
    <x v="15"/>
    <n v="3"/>
    <n v="45396"/>
    <n v="15"/>
    <n v="115759.8"/>
    <n v="20428.2"/>
    <s v="Unique Order ID"/>
  </r>
  <r>
    <s v="ORD10807"/>
    <x v="76"/>
    <x v="9"/>
    <x v="0"/>
    <x v="3"/>
    <x v="0"/>
    <x v="12"/>
    <n v="15"/>
    <n v="2755"/>
    <n v="15"/>
    <n v="35126.25"/>
    <n v="6198.75"/>
    <s v="Unique Order ID"/>
  </r>
  <r>
    <s v="ORD10808"/>
    <x v="61"/>
    <x v="6"/>
    <x v="2"/>
    <x v="2"/>
    <x v="2"/>
    <x v="9"/>
    <n v="10"/>
    <n v="52613"/>
    <n v="5"/>
    <n v="499823.5"/>
    <n v="26306.5"/>
    <s v="Unique Order ID"/>
  </r>
  <r>
    <s v="ORD10809"/>
    <x v="74"/>
    <x v="9"/>
    <x v="0"/>
    <x v="3"/>
    <x v="1"/>
    <x v="6"/>
    <n v="3"/>
    <n v="13828"/>
    <n v="20"/>
    <n v="33187.199999999997"/>
    <n v="8296.8000000000011"/>
    <s v="Unique Order ID"/>
  </r>
  <r>
    <s v="ORD10810"/>
    <x v="81"/>
    <x v="11"/>
    <x v="2"/>
    <x v="4"/>
    <x v="0"/>
    <x v="12"/>
    <n v="14"/>
    <n v="37999"/>
    <n v="10"/>
    <n v="478787.4"/>
    <n v="53198.600000000006"/>
    <s v="Unique Order ID"/>
  </r>
  <r>
    <s v="ORD10811"/>
    <x v="13"/>
    <x v="12"/>
    <x v="0"/>
    <x v="1"/>
    <x v="0"/>
    <x v="8"/>
    <n v="9"/>
    <n v="26133"/>
    <n v="5"/>
    <n v="223437.15"/>
    <n v="11759.85"/>
    <s v="Duplicate Order ID"/>
  </r>
  <r>
    <s v="ORD10811"/>
    <x v="10"/>
    <x v="14"/>
    <x v="1"/>
    <x v="2"/>
    <x v="1"/>
    <x v="23"/>
    <n v="12"/>
    <n v="45143"/>
    <n v="20"/>
    <n v="433372.8"/>
    <n v="108343.20000000001"/>
    <s v="Duplicate Order ID"/>
  </r>
  <r>
    <s v="ORD10813"/>
    <x v="62"/>
    <x v="0"/>
    <x v="1"/>
    <x v="4"/>
    <x v="2"/>
    <x v="2"/>
    <n v="4"/>
    <n v="41643"/>
    <n v="0"/>
    <n v="166572"/>
    <n v="0"/>
    <s v="Unique Order ID"/>
  </r>
  <r>
    <s v="ORD10814"/>
    <x v="82"/>
    <x v="15"/>
    <x v="3"/>
    <x v="4"/>
    <x v="1"/>
    <x v="22"/>
    <n v="2"/>
    <n v="57363"/>
    <n v="20"/>
    <n v="91780.800000000003"/>
    <n v="22945.200000000001"/>
    <s v="Unique Order ID"/>
  </r>
  <r>
    <s v="ORD10815"/>
    <x v="53"/>
    <x v="8"/>
    <x v="2"/>
    <x v="2"/>
    <x v="2"/>
    <x v="15"/>
    <n v="8"/>
    <n v="47919"/>
    <n v="5"/>
    <n v="364184.4"/>
    <n v="19167.600000000002"/>
    <s v="Unique Order ID"/>
  </r>
  <r>
    <s v="ORD10816"/>
    <x v="1"/>
    <x v="4"/>
    <x v="3"/>
    <x v="0"/>
    <x v="0"/>
    <x v="12"/>
    <n v="13"/>
    <n v="49770"/>
    <n v="0"/>
    <n v="614659.5"/>
    <n v="0"/>
    <s v="Duplicate Order ID"/>
  </r>
  <r>
    <s v="ORD10816"/>
    <x v="61"/>
    <x v="10"/>
    <x v="2"/>
    <x v="4"/>
    <x v="1"/>
    <x v="16"/>
    <n v="7"/>
    <n v="30344"/>
    <n v="15"/>
    <n v="180546.8"/>
    <n v="31861.199999999997"/>
    <s v="Duplicate Order ID"/>
  </r>
  <r>
    <s v="ORD10818"/>
    <x v="28"/>
    <x v="12"/>
    <x v="3"/>
    <x v="1"/>
    <x v="2"/>
    <x v="9"/>
    <n v="7"/>
    <n v="23948"/>
    <n v="15"/>
    <n v="142490.6"/>
    <n v="25145.399999999998"/>
    <s v="Unique Order ID"/>
  </r>
  <r>
    <s v="ORD10819"/>
    <x v="10"/>
    <x v="1"/>
    <x v="2"/>
    <x v="2"/>
    <x v="1"/>
    <x v="5"/>
    <n v="14"/>
    <n v="12222"/>
    <n v="10"/>
    <n v="153997.20000000001"/>
    <n v="17110.8"/>
    <s v="Unique Order ID"/>
  </r>
  <r>
    <s v="ORD10820"/>
    <x v="22"/>
    <x v="10"/>
    <x v="2"/>
    <x v="4"/>
    <x v="0"/>
    <x v="19"/>
    <n v="2"/>
    <n v="12388"/>
    <n v="0"/>
    <n v="24776"/>
    <n v="0"/>
    <s v="Unique Order ID"/>
  </r>
  <r>
    <s v="ORD10821"/>
    <x v="1"/>
    <x v="2"/>
    <x v="1"/>
    <x v="0"/>
    <x v="0"/>
    <x v="17"/>
    <n v="2"/>
    <n v="57528"/>
    <n v="0"/>
    <n v="115056"/>
    <n v="0"/>
    <s v="Unique Order ID"/>
  </r>
  <r>
    <s v="ORD10822"/>
    <x v="60"/>
    <x v="3"/>
    <x v="1"/>
    <x v="1"/>
    <x v="1"/>
    <x v="6"/>
    <n v="8"/>
    <n v="37665"/>
    <n v="0"/>
    <n v="301320"/>
    <n v="0"/>
    <s v="Unique Order ID"/>
  </r>
  <r>
    <s v="ORD10823"/>
    <x v="43"/>
    <x v="0"/>
    <x v="1"/>
    <x v="1"/>
    <x v="0"/>
    <x v="18"/>
    <n v="13"/>
    <n v="7129"/>
    <n v="15"/>
    <n v="78775.45"/>
    <n v="13901.55"/>
    <s v="Unique Order ID"/>
  </r>
  <r>
    <s v="ORD10824"/>
    <x v="73"/>
    <x v="13"/>
    <x v="2"/>
    <x v="1"/>
    <x v="1"/>
    <x v="11"/>
    <n v="15"/>
    <n v="18939"/>
    <n v="15"/>
    <n v="241472.25"/>
    <n v="42612.75"/>
    <s v="Unique Order ID"/>
  </r>
  <r>
    <s v="ORD10825"/>
    <x v="70"/>
    <x v="15"/>
    <x v="2"/>
    <x v="2"/>
    <x v="2"/>
    <x v="13"/>
    <n v="4"/>
    <n v="22602"/>
    <n v="20"/>
    <n v="72326.399999999994"/>
    <n v="18081.600000000002"/>
    <s v="Unique Order ID"/>
  </r>
  <r>
    <s v="ORD10826"/>
    <x v="9"/>
    <x v="17"/>
    <x v="3"/>
    <x v="0"/>
    <x v="2"/>
    <x v="13"/>
    <n v="9"/>
    <n v="52540"/>
    <n v="0"/>
    <n v="472860"/>
    <n v="0"/>
    <s v="Unique Order ID"/>
  </r>
  <r>
    <s v="ORD10827"/>
    <x v="40"/>
    <x v="5"/>
    <x v="1"/>
    <x v="4"/>
    <x v="1"/>
    <x v="23"/>
    <n v="6"/>
    <n v="9642"/>
    <n v="15"/>
    <n v="49174.2"/>
    <n v="8677.7999999999993"/>
    <s v="Unique Order ID"/>
  </r>
  <r>
    <s v="ORD10828"/>
    <x v="26"/>
    <x v="0"/>
    <x v="1"/>
    <x v="0"/>
    <x v="2"/>
    <x v="10"/>
    <n v="4"/>
    <n v="43002"/>
    <n v="5"/>
    <n v="163407.6"/>
    <n v="8600.4"/>
    <s v="Unique Order ID"/>
  </r>
  <r>
    <s v="ORD10829"/>
    <x v="74"/>
    <x v="11"/>
    <x v="0"/>
    <x v="2"/>
    <x v="0"/>
    <x v="19"/>
    <n v="13"/>
    <n v="24050"/>
    <n v="20"/>
    <n v="250120"/>
    <n v="62530"/>
    <s v="Unique Order ID"/>
  </r>
  <r>
    <s v="ORD10830"/>
    <x v="51"/>
    <x v="1"/>
    <x v="3"/>
    <x v="0"/>
    <x v="2"/>
    <x v="10"/>
    <n v="11"/>
    <n v="4803"/>
    <n v="0"/>
    <n v="52833"/>
    <n v="0"/>
    <s v="Duplicate Order ID"/>
  </r>
  <r>
    <s v="ORD10830"/>
    <x v="77"/>
    <x v="5"/>
    <x v="3"/>
    <x v="0"/>
    <x v="2"/>
    <x v="10"/>
    <n v="1"/>
    <n v="46410"/>
    <n v="15"/>
    <n v="39448.5"/>
    <n v="6961.5"/>
    <s v="Duplicate Order ID"/>
  </r>
  <r>
    <s v="ORD10832"/>
    <x v="63"/>
    <x v="3"/>
    <x v="3"/>
    <x v="3"/>
    <x v="2"/>
    <x v="15"/>
    <n v="8"/>
    <n v="28098"/>
    <n v="5"/>
    <n v="213544.8"/>
    <n v="11239.2"/>
    <s v="Unique Order ID"/>
  </r>
  <r>
    <s v="ORD10833"/>
    <x v="28"/>
    <x v="17"/>
    <x v="2"/>
    <x v="0"/>
    <x v="1"/>
    <x v="16"/>
    <n v="4"/>
    <n v="39713"/>
    <n v="0"/>
    <n v="158852"/>
    <n v="0"/>
    <s v="Unique Order ID"/>
  </r>
  <r>
    <s v="ORD10834"/>
    <x v="9"/>
    <x v="2"/>
    <x v="0"/>
    <x v="2"/>
    <x v="1"/>
    <x v="11"/>
    <n v="9"/>
    <n v="6868"/>
    <n v="15"/>
    <n v="52540.2"/>
    <n v="9271.7999999999993"/>
    <s v="Duplicate Order ID"/>
  </r>
  <r>
    <s v="ORD10834"/>
    <x v="74"/>
    <x v="19"/>
    <x v="1"/>
    <x v="3"/>
    <x v="0"/>
    <x v="19"/>
    <n v="15"/>
    <n v="42387"/>
    <n v="5"/>
    <n v="604014.75"/>
    <n v="31790.25"/>
    <s v="Duplicate Order ID"/>
  </r>
  <r>
    <s v="ORD10836"/>
    <x v="51"/>
    <x v="13"/>
    <x v="2"/>
    <x v="3"/>
    <x v="0"/>
    <x v="18"/>
    <n v="5"/>
    <n v="4180"/>
    <n v="15"/>
    <n v="17765"/>
    <n v="3135"/>
    <s v="Unique Order ID"/>
  </r>
  <r>
    <s v="ORD10837"/>
    <x v="86"/>
    <x v="4"/>
    <x v="2"/>
    <x v="2"/>
    <x v="0"/>
    <x v="14"/>
    <n v="11"/>
    <n v="33369"/>
    <n v="10"/>
    <n v="330353.09999999998"/>
    <n v="36705.9"/>
    <s v="Unique Order ID"/>
  </r>
  <r>
    <s v="ORD10838"/>
    <x v="1"/>
    <x v="10"/>
    <x v="2"/>
    <x v="4"/>
    <x v="1"/>
    <x v="23"/>
    <n v="9"/>
    <n v="34638"/>
    <n v="20"/>
    <n v="249393.6"/>
    <n v="62348.4"/>
    <s v="Unique Order ID"/>
  </r>
  <r>
    <s v="ORD10839"/>
    <x v="11"/>
    <x v="12"/>
    <x v="0"/>
    <x v="4"/>
    <x v="2"/>
    <x v="10"/>
    <n v="4"/>
    <n v="32401"/>
    <n v="5"/>
    <n v="123123.8"/>
    <n v="6480.2000000000007"/>
    <s v="Unique Order ID"/>
  </r>
  <r>
    <s v="ORD10840"/>
    <x v="85"/>
    <x v="3"/>
    <x v="3"/>
    <x v="3"/>
    <x v="2"/>
    <x v="2"/>
    <n v="3"/>
    <n v="20602"/>
    <n v="0"/>
    <n v="61806"/>
    <n v="0"/>
    <s v="Unique Order ID"/>
  </r>
  <r>
    <s v="ORD10841"/>
    <x v="17"/>
    <x v="16"/>
    <x v="0"/>
    <x v="1"/>
    <x v="1"/>
    <x v="5"/>
    <n v="5"/>
    <n v="32186"/>
    <n v="0"/>
    <n v="160930"/>
    <n v="0"/>
    <s v="Unique Order ID"/>
  </r>
  <r>
    <s v="ORD10842"/>
    <x v="22"/>
    <x v="11"/>
    <x v="0"/>
    <x v="3"/>
    <x v="2"/>
    <x v="3"/>
    <n v="8"/>
    <n v="11491"/>
    <n v="15"/>
    <n v="78138.8"/>
    <n v="13789.199999999999"/>
    <s v="Unique Order ID"/>
  </r>
  <r>
    <s v="ORD10843"/>
    <x v="62"/>
    <x v="15"/>
    <x v="3"/>
    <x v="2"/>
    <x v="1"/>
    <x v="4"/>
    <n v="6"/>
    <n v="1260"/>
    <n v="15"/>
    <n v="6426"/>
    <n v="1134"/>
    <s v="Unique Order ID"/>
  </r>
  <r>
    <s v="ORD10844"/>
    <x v="25"/>
    <x v="0"/>
    <x v="1"/>
    <x v="2"/>
    <x v="2"/>
    <x v="9"/>
    <n v="12"/>
    <n v="44239"/>
    <n v="0"/>
    <n v="530868"/>
    <n v="0"/>
    <s v="Unique Order ID"/>
  </r>
  <r>
    <s v="ORD10845"/>
    <x v="70"/>
    <x v="1"/>
    <x v="0"/>
    <x v="2"/>
    <x v="2"/>
    <x v="9"/>
    <n v="15"/>
    <n v="11340"/>
    <n v="15"/>
    <n v="144585"/>
    <n v="25515"/>
    <s v="Unique Order ID"/>
  </r>
  <r>
    <s v="ORD10846"/>
    <x v="38"/>
    <x v="12"/>
    <x v="1"/>
    <x v="0"/>
    <x v="0"/>
    <x v="19"/>
    <n v="4"/>
    <n v="14269"/>
    <n v="0"/>
    <n v="57076"/>
    <n v="0"/>
    <s v="Unique Order ID"/>
  </r>
  <r>
    <s v="ORD10847"/>
    <x v="48"/>
    <x v="19"/>
    <x v="2"/>
    <x v="0"/>
    <x v="0"/>
    <x v="17"/>
    <n v="7"/>
    <n v="38766"/>
    <n v="15"/>
    <n v="230657.7"/>
    <n v="40704.299999999996"/>
    <s v="Unique Order ID"/>
  </r>
  <r>
    <s v="ORD10848"/>
    <x v="53"/>
    <x v="18"/>
    <x v="1"/>
    <x v="4"/>
    <x v="0"/>
    <x v="21"/>
    <n v="3"/>
    <n v="18053"/>
    <n v="20"/>
    <n v="43327.199999999997"/>
    <n v="10831.800000000001"/>
    <s v="Unique Order ID"/>
  </r>
  <r>
    <s v="ORD10849"/>
    <x v="62"/>
    <x v="13"/>
    <x v="2"/>
    <x v="4"/>
    <x v="0"/>
    <x v="14"/>
    <n v="8"/>
    <n v="6218"/>
    <n v="5"/>
    <n v="47256.800000000003"/>
    <n v="2487.2000000000003"/>
    <s v="Unique Order ID"/>
  </r>
  <r>
    <s v="ORD10850"/>
    <x v="86"/>
    <x v="6"/>
    <x v="0"/>
    <x v="4"/>
    <x v="2"/>
    <x v="10"/>
    <n v="13"/>
    <n v="39012"/>
    <n v="20"/>
    <n v="405724.8"/>
    <n v="101431.20000000001"/>
    <s v="Unique Order ID"/>
  </r>
  <r>
    <s v="ORD10851"/>
    <x v="31"/>
    <x v="1"/>
    <x v="0"/>
    <x v="2"/>
    <x v="0"/>
    <x v="0"/>
    <n v="8"/>
    <n v="11580"/>
    <n v="0"/>
    <n v="92640"/>
    <n v="0"/>
    <s v="Unique Order ID"/>
  </r>
  <r>
    <s v="ORD10852"/>
    <x v="42"/>
    <x v="13"/>
    <x v="1"/>
    <x v="4"/>
    <x v="2"/>
    <x v="3"/>
    <n v="12"/>
    <n v="53259"/>
    <n v="0"/>
    <n v="639108"/>
    <n v="0"/>
    <s v="Unique Order ID"/>
  </r>
  <r>
    <s v="ORD10853"/>
    <x v="66"/>
    <x v="8"/>
    <x v="2"/>
    <x v="3"/>
    <x v="2"/>
    <x v="3"/>
    <n v="11"/>
    <n v="35780"/>
    <n v="10"/>
    <n v="354222"/>
    <n v="39358"/>
    <s v="Unique Order ID"/>
  </r>
  <r>
    <s v="ORD10854"/>
    <x v="67"/>
    <x v="1"/>
    <x v="2"/>
    <x v="1"/>
    <x v="0"/>
    <x v="12"/>
    <n v="14"/>
    <n v="22686"/>
    <n v="20"/>
    <n v="254083.20000000001"/>
    <n v="63520.800000000003"/>
    <s v="Unique Order ID"/>
  </r>
  <r>
    <s v="ORD10855"/>
    <x v="41"/>
    <x v="18"/>
    <x v="3"/>
    <x v="4"/>
    <x v="1"/>
    <x v="5"/>
    <n v="15"/>
    <n v="38777"/>
    <n v="15"/>
    <n v="494406.75"/>
    <n v="87248.25"/>
    <s v="Unique Order ID"/>
  </r>
  <r>
    <s v="ORD10856"/>
    <x v="52"/>
    <x v="6"/>
    <x v="0"/>
    <x v="2"/>
    <x v="2"/>
    <x v="15"/>
    <n v="8"/>
    <n v="7041"/>
    <n v="10"/>
    <n v="50695.199999999997"/>
    <n v="5632.8"/>
    <s v="Unique Order ID"/>
  </r>
  <r>
    <s v="ORD10857"/>
    <x v="53"/>
    <x v="17"/>
    <x v="2"/>
    <x v="2"/>
    <x v="1"/>
    <x v="7"/>
    <n v="5"/>
    <n v="37347"/>
    <n v="0"/>
    <n v="186735"/>
    <n v="0"/>
    <s v="Unique Order ID"/>
  </r>
  <r>
    <s v="ORD10858"/>
    <x v="25"/>
    <x v="10"/>
    <x v="3"/>
    <x v="1"/>
    <x v="0"/>
    <x v="14"/>
    <n v="11"/>
    <n v="8160"/>
    <n v="0"/>
    <n v="89760"/>
    <n v="0"/>
    <s v="Unique Order ID"/>
  </r>
  <r>
    <s v="ORD10859"/>
    <x v="63"/>
    <x v="15"/>
    <x v="3"/>
    <x v="4"/>
    <x v="1"/>
    <x v="7"/>
    <n v="1"/>
    <n v="11446"/>
    <n v="0"/>
    <n v="11446"/>
    <n v="0"/>
    <s v="Unique Order ID"/>
  </r>
  <r>
    <s v="ORD10860"/>
    <x v="80"/>
    <x v="17"/>
    <x v="0"/>
    <x v="2"/>
    <x v="0"/>
    <x v="0"/>
    <n v="10"/>
    <n v="11328"/>
    <n v="0"/>
    <n v="113280"/>
    <n v="0"/>
    <s v="Unique Order ID"/>
  </r>
  <r>
    <s v="ORD10861"/>
    <x v="65"/>
    <x v="1"/>
    <x v="2"/>
    <x v="2"/>
    <x v="0"/>
    <x v="19"/>
    <n v="10"/>
    <n v="37467"/>
    <n v="0"/>
    <n v="374670"/>
    <n v="0"/>
    <s v="Unique Order ID"/>
  </r>
  <r>
    <s v="ORD10862"/>
    <x v="36"/>
    <x v="9"/>
    <x v="1"/>
    <x v="1"/>
    <x v="2"/>
    <x v="13"/>
    <n v="5"/>
    <n v="28948"/>
    <n v="10"/>
    <n v="130266"/>
    <n v="14474"/>
    <s v="Unique Order ID"/>
  </r>
  <r>
    <s v="ORD10863"/>
    <x v="35"/>
    <x v="17"/>
    <x v="0"/>
    <x v="2"/>
    <x v="2"/>
    <x v="13"/>
    <n v="7"/>
    <n v="56164"/>
    <n v="15"/>
    <n v="334175.8"/>
    <n v="58972.2"/>
    <s v="Unique Order ID"/>
  </r>
  <r>
    <s v="ORD10864"/>
    <x v="23"/>
    <x v="1"/>
    <x v="0"/>
    <x v="1"/>
    <x v="2"/>
    <x v="2"/>
    <n v="8"/>
    <n v="21069"/>
    <n v="5"/>
    <n v="160124.4"/>
    <n v="8427.6"/>
    <s v="Unique Order ID"/>
  </r>
  <r>
    <s v="ORD10865"/>
    <x v="34"/>
    <x v="12"/>
    <x v="0"/>
    <x v="0"/>
    <x v="1"/>
    <x v="1"/>
    <n v="5"/>
    <n v="46892"/>
    <n v="10"/>
    <n v="211014"/>
    <n v="23446"/>
    <s v="Unique Order ID"/>
  </r>
  <r>
    <s v="ORD10866"/>
    <x v="36"/>
    <x v="18"/>
    <x v="0"/>
    <x v="1"/>
    <x v="0"/>
    <x v="6"/>
    <n v="2"/>
    <n v="44408"/>
    <n v="10"/>
    <n v="79934.399999999994"/>
    <n v="8881.6"/>
    <s v="Unique Order ID"/>
  </r>
  <r>
    <s v="ORD10867"/>
    <x v="49"/>
    <x v="8"/>
    <x v="2"/>
    <x v="3"/>
    <x v="0"/>
    <x v="19"/>
    <n v="1"/>
    <n v="7234"/>
    <n v="10"/>
    <n v="6510.6"/>
    <n v="723.40000000000009"/>
    <s v="Unique Order ID"/>
  </r>
  <r>
    <s v="ORD10868"/>
    <x v="72"/>
    <x v="19"/>
    <x v="1"/>
    <x v="1"/>
    <x v="1"/>
    <x v="22"/>
    <n v="7"/>
    <n v="43491"/>
    <n v="20"/>
    <n v="243549.6"/>
    <n v="60887.4"/>
    <s v="Unique Order ID"/>
  </r>
  <r>
    <s v="ORD10869"/>
    <x v="27"/>
    <x v="8"/>
    <x v="1"/>
    <x v="3"/>
    <x v="2"/>
    <x v="10"/>
    <n v="12"/>
    <n v="24114"/>
    <n v="20"/>
    <n v="231494.39999999999"/>
    <n v="57873.600000000006"/>
    <s v="Unique Order ID"/>
  </r>
  <r>
    <s v="ORD10870"/>
    <x v="24"/>
    <x v="3"/>
    <x v="3"/>
    <x v="4"/>
    <x v="2"/>
    <x v="9"/>
    <n v="15"/>
    <n v="21996"/>
    <n v="0"/>
    <n v="329940"/>
    <n v="0"/>
    <s v="Unique Order ID"/>
  </r>
  <r>
    <s v="ORD10871"/>
    <x v="52"/>
    <x v="19"/>
    <x v="2"/>
    <x v="0"/>
    <x v="2"/>
    <x v="9"/>
    <n v="3"/>
    <n v="53988"/>
    <n v="5"/>
    <n v="153865.79999999999"/>
    <n v="8098.2000000000007"/>
    <s v="Unique Order ID"/>
  </r>
  <r>
    <s v="ORD10872"/>
    <x v="48"/>
    <x v="6"/>
    <x v="2"/>
    <x v="0"/>
    <x v="1"/>
    <x v="20"/>
    <n v="9"/>
    <n v="21562"/>
    <n v="20"/>
    <n v="155246.39999999999"/>
    <n v="38811.599999999999"/>
    <s v="Unique Order ID"/>
  </r>
  <r>
    <s v="ORD10873"/>
    <x v="0"/>
    <x v="0"/>
    <x v="2"/>
    <x v="4"/>
    <x v="0"/>
    <x v="8"/>
    <n v="4"/>
    <n v="57163"/>
    <n v="15"/>
    <n v="194354.2"/>
    <n v="34297.799999999996"/>
    <s v="Unique Order ID"/>
  </r>
  <r>
    <s v="ORD10874"/>
    <x v="44"/>
    <x v="4"/>
    <x v="3"/>
    <x v="2"/>
    <x v="2"/>
    <x v="10"/>
    <n v="7"/>
    <n v="58225"/>
    <n v="15"/>
    <n v="346438.75"/>
    <n v="61136.25"/>
    <s v="Unique Order ID"/>
  </r>
  <r>
    <s v="ORD10875"/>
    <x v="7"/>
    <x v="10"/>
    <x v="1"/>
    <x v="3"/>
    <x v="1"/>
    <x v="15"/>
    <n v="13"/>
    <n v="23197"/>
    <n v="0"/>
    <n v="301561"/>
    <n v="0"/>
    <s v="Unique Order ID"/>
  </r>
  <r>
    <s v="ORD10876"/>
    <x v="57"/>
    <x v="5"/>
    <x v="0"/>
    <x v="3"/>
    <x v="0"/>
    <x v="19"/>
    <n v="4"/>
    <n v="14599"/>
    <n v="10"/>
    <n v="52556.4"/>
    <n v="5839.6"/>
    <s v="Unique Order ID"/>
  </r>
  <r>
    <s v="ORD10877"/>
    <x v="18"/>
    <x v="0"/>
    <x v="2"/>
    <x v="1"/>
    <x v="1"/>
    <x v="4"/>
    <n v="6"/>
    <n v="15520"/>
    <n v="5"/>
    <n v="88464"/>
    <n v="4656"/>
    <s v="Unique Order ID"/>
  </r>
  <r>
    <s v="ORD10878"/>
    <x v="49"/>
    <x v="10"/>
    <x v="1"/>
    <x v="0"/>
    <x v="2"/>
    <x v="2"/>
    <n v="6"/>
    <n v="32369"/>
    <n v="15"/>
    <n v="165081.9"/>
    <n v="29132.1"/>
    <s v="Unique Order ID"/>
  </r>
  <r>
    <s v="ORD10879"/>
    <x v="25"/>
    <x v="5"/>
    <x v="3"/>
    <x v="1"/>
    <x v="2"/>
    <x v="13"/>
    <n v="13"/>
    <n v="31768"/>
    <n v="0"/>
    <n v="412984"/>
    <n v="0"/>
    <s v="Unique Order ID"/>
  </r>
  <r>
    <s v="ORD10880"/>
    <x v="29"/>
    <x v="5"/>
    <x v="1"/>
    <x v="3"/>
    <x v="1"/>
    <x v="16"/>
    <n v="7"/>
    <n v="33274"/>
    <n v="0"/>
    <n v="232918"/>
    <n v="0"/>
    <s v="Unique Order ID"/>
  </r>
  <r>
    <s v="ORD10881"/>
    <x v="65"/>
    <x v="8"/>
    <x v="0"/>
    <x v="0"/>
    <x v="1"/>
    <x v="16"/>
    <n v="9"/>
    <n v="15661"/>
    <n v="0"/>
    <n v="140949"/>
    <n v="0"/>
    <s v="Unique Order ID"/>
  </r>
  <r>
    <s v="ORD10882"/>
    <x v="0"/>
    <x v="8"/>
    <x v="0"/>
    <x v="3"/>
    <x v="2"/>
    <x v="13"/>
    <n v="3"/>
    <n v="59519"/>
    <n v="10"/>
    <n v="160701.29999999999"/>
    <n v="17855.7"/>
    <s v="Unique Order ID"/>
  </r>
  <r>
    <s v="ORD10883"/>
    <x v="3"/>
    <x v="5"/>
    <x v="1"/>
    <x v="3"/>
    <x v="0"/>
    <x v="17"/>
    <n v="3"/>
    <n v="22341"/>
    <n v="0"/>
    <n v="67023"/>
    <n v="0"/>
    <s v="Unique Order ID"/>
  </r>
  <r>
    <s v="ORD10884"/>
    <x v="48"/>
    <x v="12"/>
    <x v="1"/>
    <x v="0"/>
    <x v="0"/>
    <x v="12"/>
    <n v="2"/>
    <n v="4999"/>
    <n v="20"/>
    <n v="7998.4"/>
    <n v="1999.6000000000001"/>
    <s v="Unique Order ID"/>
  </r>
  <r>
    <s v="ORD10885"/>
    <x v="69"/>
    <x v="9"/>
    <x v="3"/>
    <x v="3"/>
    <x v="2"/>
    <x v="13"/>
    <n v="2"/>
    <n v="27513"/>
    <n v="5"/>
    <n v="52274.7"/>
    <n v="2751.3"/>
    <s v="Unique Order ID"/>
  </r>
  <r>
    <s v="ORD10886"/>
    <x v="49"/>
    <x v="19"/>
    <x v="2"/>
    <x v="3"/>
    <x v="1"/>
    <x v="7"/>
    <n v="11"/>
    <n v="33442"/>
    <n v="5"/>
    <n v="349468.9"/>
    <n v="18393.100000000002"/>
    <s v="Unique Order ID"/>
  </r>
  <r>
    <s v="ORD10887"/>
    <x v="8"/>
    <x v="6"/>
    <x v="0"/>
    <x v="0"/>
    <x v="0"/>
    <x v="0"/>
    <n v="15"/>
    <n v="32798"/>
    <n v="0"/>
    <n v="491970"/>
    <n v="0"/>
    <s v="Unique Order ID"/>
  </r>
  <r>
    <s v="ORD10888"/>
    <x v="17"/>
    <x v="0"/>
    <x v="1"/>
    <x v="0"/>
    <x v="0"/>
    <x v="0"/>
    <n v="10"/>
    <n v="54423"/>
    <n v="15"/>
    <n v="462595.5"/>
    <n v="81634.5"/>
    <s v="Unique Order ID"/>
  </r>
  <r>
    <s v="ORD10889"/>
    <x v="12"/>
    <x v="11"/>
    <x v="3"/>
    <x v="4"/>
    <x v="0"/>
    <x v="14"/>
    <n v="3"/>
    <n v="17100"/>
    <n v="0"/>
    <n v="51300"/>
    <n v="0"/>
    <s v="Unique Order ID"/>
  </r>
  <r>
    <s v="ORD10890"/>
    <x v="54"/>
    <x v="17"/>
    <x v="0"/>
    <x v="0"/>
    <x v="2"/>
    <x v="15"/>
    <n v="12"/>
    <n v="53167"/>
    <n v="0"/>
    <n v="638004"/>
    <n v="0"/>
    <s v="Unique Order ID"/>
  </r>
  <r>
    <s v="ORD10891"/>
    <x v="52"/>
    <x v="0"/>
    <x v="3"/>
    <x v="1"/>
    <x v="2"/>
    <x v="2"/>
    <n v="11"/>
    <n v="19898"/>
    <n v="0"/>
    <n v="218878"/>
    <n v="0"/>
    <s v="Unique Order ID"/>
  </r>
  <r>
    <s v="ORD10892"/>
    <x v="42"/>
    <x v="13"/>
    <x v="2"/>
    <x v="0"/>
    <x v="2"/>
    <x v="13"/>
    <n v="9"/>
    <n v="23334"/>
    <n v="0"/>
    <n v="210006"/>
    <n v="0"/>
    <s v="Unique Order ID"/>
  </r>
  <r>
    <s v="ORD10893"/>
    <x v="22"/>
    <x v="18"/>
    <x v="2"/>
    <x v="2"/>
    <x v="2"/>
    <x v="15"/>
    <n v="3"/>
    <n v="42224"/>
    <n v="20"/>
    <n v="101337.60000000001"/>
    <n v="25334.400000000001"/>
    <s v="Unique Order ID"/>
  </r>
  <r>
    <s v="ORD10894"/>
    <x v="71"/>
    <x v="15"/>
    <x v="3"/>
    <x v="3"/>
    <x v="1"/>
    <x v="11"/>
    <n v="2"/>
    <n v="22661"/>
    <n v="0"/>
    <n v="45322"/>
    <n v="0"/>
    <s v="Unique Order ID"/>
  </r>
  <r>
    <s v="ORD10895"/>
    <x v="68"/>
    <x v="7"/>
    <x v="2"/>
    <x v="1"/>
    <x v="1"/>
    <x v="19"/>
    <n v="11"/>
    <n v="22580"/>
    <n v="0"/>
    <n v="248380"/>
    <n v="0"/>
    <s v="Unique Order ID"/>
  </r>
  <r>
    <s v="ORD10896"/>
    <x v="15"/>
    <x v="19"/>
    <x v="3"/>
    <x v="2"/>
    <x v="1"/>
    <x v="20"/>
    <n v="3"/>
    <n v="20241"/>
    <n v="0"/>
    <n v="60723"/>
    <n v="0"/>
    <s v="Unique Order ID"/>
  </r>
  <r>
    <s v="ORD10897"/>
    <x v="12"/>
    <x v="10"/>
    <x v="3"/>
    <x v="3"/>
    <x v="0"/>
    <x v="21"/>
    <n v="12"/>
    <n v="30479"/>
    <n v="5"/>
    <n v="347460.6"/>
    <n v="18287.400000000001"/>
    <s v="Unique Order ID"/>
  </r>
  <r>
    <s v="ORD10898"/>
    <x v="72"/>
    <x v="4"/>
    <x v="0"/>
    <x v="3"/>
    <x v="2"/>
    <x v="15"/>
    <n v="7"/>
    <n v="7638"/>
    <n v="20"/>
    <n v="42772.800000000003"/>
    <n v="10693.2"/>
    <s v="Unique Order ID"/>
  </r>
  <r>
    <s v="ORD10899"/>
    <x v="86"/>
    <x v="19"/>
    <x v="1"/>
    <x v="4"/>
    <x v="2"/>
    <x v="13"/>
    <n v="13"/>
    <n v="24411"/>
    <n v="15"/>
    <n v="269741.55"/>
    <n v="47601.45"/>
    <s v="Unique Order ID"/>
  </r>
  <r>
    <s v="ORD10900"/>
    <x v="74"/>
    <x v="16"/>
    <x v="3"/>
    <x v="4"/>
    <x v="0"/>
    <x v="1"/>
    <n v="4"/>
    <n v="10324"/>
    <n v="0"/>
    <n v="41296"/>
    <n v="0"/>
    <s v="Unique Order ID"/>
  </r>
  <r>
    <s v="ORD10901"/>
    <x v="30"/>
    <x v="12"/>
    <x v="0"/>
    <x v="0"/>
    <x v="1"/>
    <x v="6"/>
    <n v="2"/>
    <n v="10245"/>
    <n v="0"/>
    <n v="20490"/>
    <n v="0"/>
    <s v="Unique Order ID"/>
  </r>
  <r>
    <s v="ORD10902"/>
    <x v="53"/>
    <x v="12"/>
    <x v="2"/>
    <x v="4"/>
    <x v="1"/>
    <x v="16"/>
    <n v="11"/>
    <n v="47155"/>
    <n v="0"/>
    <n v="518705"/>
    <n v="0"/>
    <s v="Unique Order ID"/>
  </r>
  <r>
    <s v="ORD10903"/>
    <x v="56"/>
    <x v="15"/>
    <x v="0"/>
    <x v="4"/>
    <x v="1"/>
    <x v="4"/>
    <n v="2"/>
    <n v="16765"/>
    <n v="15"/>
    <n v="28500.5"/>
    <n v="5029.5"/>
    <s v="Unique Order ID"/>
  </r>
  <r>
    <s v="ORD10904"/>
    <x v="49"/>
    <x v="14"/>
    <x v="3"/>
    <x v="4"/>
    <x v="1"/>
    <x v="1"/>
    <n v="14"/>
    <n v="705"/>
    <n v="0"/>
    <n v="9870"/>
    <n v="0"/>
    <s v="Unique Order ID"/>
  </r>
  <r>
    <s v="ORD10905"/>
    <x v="88"/>
    <x v="19"/>
    <x v="3"/>
    <x v="2"/>
    <x v="1"/>
    <x v="4"/>
    <n v="4"/>
    <n v="42068"/>
    <n v="20"/>
    <n v="134617.60000000001"/>
    <n v="33654.400000000001"/>
    <s v="Unique Order ID"/>
  </r>
  <r>
    <s v="ORD10906"/>
    <x v="39"/>
    <x v="15"/>
    <x v="2"/>
    <x v="1"/>
    <x v="2"/>
    <x v="15"/>
    <n v="7"/>
    <n v="23324"/>
    <n v="0"/>
    <n v="163268"/>
    <n v="0"/>
    <s v="Unique Order ID"/>
  </r>
  <r>
    <s v="ORD10907"/>
    <x v="42"/>
    <x v="8"/>
    <x v="3"/>
    <x v="4"/>
    <x v="0"/>
    <x v="12"/>
    <n v="3"/>
    <n v="42384"/>
    <n v="20"/>
    <n v="101721.60000000001"/>
    <n v="25430.400000000001"/>
    <s v="Unique Order ID"/>
  </r>
  <r>
    <s v="ORD10908"/>
    <x v="51"/>
    <x v="11"/>
    <x v="0"/>
    <x v="2"/>
    <x v="1"/>
    <x v="6"/>
    <n v="12"/>
    <n v="50483"/>
    <n v="10"/>
    <n v="545216.4"/>
    <n v="60579.600000000006"/>
    <s v="Unique Order ID"/>
  </r>
  <r>
    <s v="ORD10909"/>
    <x v="65"/>
    <x v="11"/>
    <x v="2"/>
    <x v="1"/>
    <x v="0"/>
    <x v="21"/>
    <n v="2"/>
    <n v="40200"/>
    <n v="20"/>
    <n v="80400"/>
    <n v="16080"/>
    <s v="Unique Order ID"/>
  </r>
  <r>
    <s v="ORD10910"/>
    <x v="36"/>
    <x v="16"/>
    <x v="2"/>
    <x v="4"/>
    <x v="2"/>
    <x v="2"/>
    <n v="14"/>
    <n v="59371"/>
    <n v="0"/>
    <n v="748074.6"/>
    <n v="0"/>
    <s v="Unique Order ID"/>
  </r>
  <r>
    <s v="ORD10911"/>
    <x v="59"/>
    <x v="10"/>
    <x v="3"/>
    <x v="3"/>
    <x v="1"/>
    <x v="23"/>
    <n v="3"/>
    <n v="30825"/>
    <n v="0"/>
    <n v="92475"/>
    <n v="0"/>
    <s v="Unique Order ID"/>
  </r>
  <r>
    <s v="ORD10912"/>
    <x v="70"/>
    <x v="1"/>
    <x v="1"/>
    <x v="3"/>
    <x v="0"/>
    <x v="18"/>
    <n v="12"/>
    <n v="43387"/>
    <n v="15"/>
    <n v="442547.4"/>
    <n v="78096.599999999991"/>
    <s v="Duplicate Order ID"/>
  </r>
  <r>
    <s v="ORD10912"/>
    <x v="60"/>
    <x v="4"/>
    <x v="1"/>
    <x v="1"/>
    <x v="1"/>
    <x v="11"/>
    <n v="8"/>
    <n v="26068"/>
    <n v="15"/>
    <n v="177262.4"/>
    <n v="31281.599999999999"/>
    <s v="Duplicate Order ID"/>
  </r>
  <r>
    <s v="ORD10914"/>
    <x v="39"/>
    <x v="4"/>
    <x v="1"/>
    <x v="1"/>
    <x v="2"/>
    <x v="13"/>
    <n v="3"/>
    <n v="48226"/>
    <n v="0"/>
    <n v="144678"/>
    <n v="0"/>
    <s v="Unique Order ID"/>
  </r>
  <r>
    <s v="ORD10915"/>
    <x v="39"/>
    <x v="6"/>
    <x v="3"/>
    <x v="4"/>
    <x v="2"/>
    <x v="2"/>
    <n v="7"/>
    <n v="49102"/>
    <n v="0"/>
    <n v="343714"/>
    <n v="0"/>
    <s v="Unique Order ID"/>
  </r>
  <r>
    <s v="ORD10916"/>
    <x v="78"/>
    <x v="8"/>
    <x v="2"/>
    <x v="1"/>
    <x v="1"/>
    <x v="11"/>
    <n v="1"/>
    <n v="49623"/>
    <n v="0"/>
    <n v="49623"/>
    <n v="0"/>
    <s v="Unique Order ID"/>
  </r>
  <r>
    <s v="ORD10917"/>
    <x v="40"/>
    <x v="5"/>
    <x v="3"/>
    <x v="1"/>
    <x v="0"/>
    <x v="17"/>
    <n v="11"/>
    <n v="31235"/>
    <n v="10"/>
    <n v="309226.5"/>
    <n v="34358.5"/>
    <s v="Unique Order ID"/>
  </r>
  <r>
    <s v="ORD10918"/>
    <x v="38"/>
    <x v="9"/>
    <x v="2"/>
    <x v="3"/>
    <x v="2"/>
    <x v="15"/>
    <n v="6"/>
    <n v="15533"/>
    <n v="0"/>
    <n v="93198"/>
    <n v="0"/>
    <s v="Unique Order ID"/>
  </r>
  <r>
    <s v="ORD10919"/>
    <x v="35"/>
    <x v="15"/>
    <x v="1"/>
    <x v="2"/>
    <x v="2"/>
    <x v="13"/>
    <n v="12"/>
    <n v="55829"/>
    <n v="15"/>
    <n v="569455.80000000005"/>
    <n v="100492.2"/>
    <s v="Unique Order ID"/>
  </r>
  <r>
    <s v="ORD10920"/>
    <x v="35"/>
    <x v="11"/>
    <x v="2"/>
    <x v="4"/>
    <x v="1"/>
    <x v="5"/>
    <n v="2"/>
    <n v="24323"/>
    <n v="0"/>
    <n v="48646"/>
    <n v="0"/>
    <s v="Unique Order ID"/>
  </r>
  <r>
    <s v="ORD10921"/>
    <x v="25"/>
    <x v="8"/>
    <x v="0"/>
    <x v="2"/>
    <x v="2"/>
    <x v="2"/>
    <n v="2"/>
    <n v="13411"/>
    <n v="15"/>
    <n v="22798.7"/>
    <n v="4023.2999999999997"/>
    <s v="Unique Order ID"/>
  </r>
  <r>
    <s v="ORD10922"/>
    <x v="6"/>
    <x v="0"/>
    <x v="2"/>
    <x v="2"/>
    <x v="0"/>
    <x v="0"/>
    <n v="8"/>
    <n v="10753"/>
    <n v="15"/>
    <n v="73120.399999999994"/>
    <n v="12903.6"/>
    <s v="Unique Order ID"/>
  </r>
  <r>
    <s v="ORD10923"/>
    <x v="21"/>
    <x v="16"/>
    <x v="0"/>
    <x v="2"/>
    <x v="2"/>
    <x v="13"/>
    <n v="5"/>
    <n v="23696"/>
    <n v="10"/>
    <n v="106632"/>
    <n v="11848"/>
    <s v="Unique Order ID"/>
  </r>
  <r>
    <s v="ORD10924"/>
    <x v="31"/>
    <x v="3"/>
    <x v="3"/>
    <x v="2"/>
    <x v="1"/>
    <x v="1"/>
    <n v="12"/>
    <n v="36935"/>
    <n v="10"/>
    <n v="398898"/>
    <n v="44322"/>
    <s v="Unique Order ID"/>
  </r>
  <r>
    <s v="ORD10925"/>
    <x v="18"/>
    <x v="19"/>
    <x v="1"/>
    <x v="4"/>
    <x v="2"/>
    <x v="13"/>
    <n v="1"/>
    <n v="16206"/>
    <n v="15"/>
    <n v="13775.1"/>
    <n v="2430.9"/>
    <s v="Unique Order ID"/>
  </r>
  <r>
    <s v="ORD10926"/>
    <x v="51"/>
    <x v="11"/>
    <x v="0"/>
    <x v="0"/>
    <x v="2"/>
    <x v="15"/>
    <n v="1"/>
    <n v="21424"/>
    <n v="0"/>
    <n v="21424"/>
    <n v="0"/>
    <s v="Unique Order ID"/>
  </r>
  <r>
    <s v="ORD10927"/>
    <x v="27"/>
    <x v="2"/>
    <x v="3"/>
    <x v="4"/>
    <x v="1"/>
    <x v="23"/>
    <n v="4"/>
    <n v="46589"/>
    <n v="5"/>
    <n v="177038.2"/>
    <n v="9317.8000000000011"/>
    <s v="Unique Order ID"/>
  </r>
  <r>
    <s v="ORD10928"/>
    <x v="86"/>
    <x v="11"/>
    <x v="2"/>
    <x v="1"/>
    <x v="1"/>
    <x v="1"/>
    <n v="13"/>
    <n v="13776"/>
    <n v="0"/>
    <n v="179088"/>
    <n v="0"/>
    <s v="Unique Order ID"/>
  </r>
  <r>
    <s v="ORD10929"/>
    <x v="32"/>
    <x v="10"/>
    <x v="0"/>
    <x v="2"/>
    <x v="0"/>
    <x v="17"/>
    <n v="7"/>
    <n v="19794"/>
    <n v="0"/>
    <n v="138558"/>
    <n v="0"/>
    <s v="Unique Order ID"/>
  </r>
  <r>
    <s v="ORD10930"/>
    <x v="89"/>
    <x v="3"/>
    <x v="1"/>
    <x v="3"/>
    <x v="2"/>
    <x v="15"/>
    <n v="2"/>
    <n v="17671"/>
    <n v="0"/>
    <n v="35342"/>
    <n v="0"/>
    <s v="Unique Order ID"/>
  </r>
  <r>
    <s v="ORD10931"/>
    <x v="7"/>
    <x v="5"/>
    <x v="0"/>
    <x v="4"/>
    <x v="1"/>
    <x v="1"/>
    <n v="15"/>
    <n v="41294"/>
    <n v="20"/>
    <n v="495528"/>
    <n v="123882"/>
    <s v="Unique Order ID"/>
  </r>
  <r>
    <s v="ORD10932"/>
    <x v="75"/>
    <x v="0"/>
    <x v="3"/>
    <x v="0"/>
    <x v="0"/>
    <x v="8"/>
    <n v="3"/>
    <n v="39627"/>
    <n v="20"/>
    <n v="95104.8"/>
    <n v="23776.2"/>
    <s v="Unique Order ID"/>
  </r>
  <r>
    <s v="ORD10933"/>
    <x v="42"/>
    <x v="9"/>
    <x v="1"/>
    <x v="1"/>
    <x v="0"/>
    <x v="21"/>
    <n v="12"/>
    <n v="23693"/>
    <n v="15"/>
    <n v="241668.6"/>
    <n v="42647.4"/>
    <s v="Unique Order ID"/>
  </r>
  <r>
    <s v="ORD10934"/>
    <x v="18"/>
    <x v="4"/>
    <x v="2"/>
    <x v="3"/>
    <x v="0"/>
    <x v="21"/>
    <n v="10"/>
    <n v="23136"/>
    <n v="0"/>
    <n v="231360"/>
    <n v="0"/>
    <s v="Unique Order ID"/>
  </r>
  <r>
    <s v="ORD10935"/>
    <x v="50"/>
    <x v="16"/>
    <x v="1"/>
    <x v="4"/>
    <x v="1"/>
    <x v="22"/>
    <n v="14"/>
    <n v="32924"/>
    <n v="15"/>
    <n v="391795.6"/>
    <n v="69140.399999999994"/>
    <s v="Unique Order ID"/>
  </r>
  <r>
    <s v="ORD10936"/>
    <x v="90"/>
    <x v="17"/>
    <x v="1"/>
    <x v="0"/>
    <x v="2"/>
    <x v="15"/>
    <n v="6"/>
    <n v="34438"/>
    <n v="0"/>
    <n v="206628"/>
    <n v="0"/>
    <s v="Unique Order ID"/>
  </r>
  <r>
    <s v="ORD10937"/>
    <x v="12"/>
    <x v="6"/>
    <x v="1"/>
    <x v="3"/>
    <x v="2"/>
    <x v="13"/>
    <n v="14"/>
    <n v="1266"/>
    <n v="10"/>
    <n v="15951.6"/>
    <n v="1772.4"/>
    <s v="Unique Order ID"/>
  </r>
  <r>
    <s v="ORD10938"/>
    <x v="8"/>
    <x v="9"/>
    <x v="1"/>
    <x v="0"/>
    <x v="0"/>
    <x v="14"/>
    <n v="4"/>
    <n v="49510"/>
    <n v="20"/>
    <n v="158432"/>
    <n v="39608"/>
    <s v="Unique Order ID"/>
  </r>
  <r>
    <s v="ORD10939"/>
    <x v="63"/>
    <x v="17"/>
    <x v="1"/>
    <x v="1"/>
    <x v="0"/>
    <x v="0"/>
    <n v="12"/>
    <n v="55943"/>
    <n v="10"/>
    <n v="604184.4"/>
    <n v="67131.600000000006"/>
    <s v="Unique Order ID"/>
  </r>
  <r>
    <s v="ORD10940"/>
    <x v="77"/>
    <x v="16"/>
    <x v="3"/>
    <x v="2"/>
    <x v="1"/>
    <x v="11"/>
    <n v="3"/>
    <n v="22627"/>
    <n v="0"/>
    <n v="54304.800000000003"/>
    <n v="0"/>
    <s v="Unique Order ID"/>
  </r>
  <r>
    <s v="ORD10941"/>
    <x v="62"/>
    <x v="2"/>
    <x v="3"/>
    <x v="2"/>
    <x v="2"/>
    <x v="2"/>
    <n v="9"/>
    <n v="36311"/>
    <n v="0"/>
    <n v="326799"/>
    <n v="0"/>
    <s v="Unique Order ID"/>
  </r>
  <r>
    <s v="ORD10942"/>
    <x v="64"/>
    <x v="9"/>
    <x v="2"/>
    <x v="0"/>
    <x v="0"/>
    <x v="18"/>
    <n v="11"/>
    <n v="10806"/>
    <n v="20"/>
    <n v="95092.800000000003"/>
    <n v="23773.200000000001"/>
    <s v="Unique Order ID"/>
  </r>
  <r>
    <s v="ORD10943"/>
    <x v="48"/>
    <x v="4"/>
    <x v="3"/>
    <x v="4"/>
    <x v="0"/>
    <x v="0"/>
    <n v="10"/>
    <n v="44863"/>
    <n v="0"/>
    <n v="448630"/>
    <n v="0"/>
    <s v="Unique Order ID"/>
  </r>
  <r>
    <s v="ORD10944"/>
    <x v="84"/>
    <x v="18"/>
    <x v="2"/>
    <x v="2"/>
    <x v="0"/>
    <x v="17"/>
    <n v="7"/>
    <n v="37760"/>
    <n v="5"/>
    <n v="251104"/>
    <n v="13216"/>
    <s v="Unique Order ID"/>
  </r>
  <r>
    <s v="ORD10945"/>
    <x v="86"/>
    <x v="13"/>
    <x v="1"/>
    <x v="4"/>
    <x v="1"/>
    <x v="5"/>
    <n v="3"/>
    <n v="17999"/>
    <n v="0"/>
    <n v="53997"/>
    <n v="0"/>
    <s v="Unique Order ID"/>
  </r>
  <r>
    <s v="ORD10946"/>
    <x v="8"/>
    <x v="13"/>
    <x v="2"/>
    <x v="0"/>
    <x v="1"/>
    <x v="11"/>
    <n v="13"/>
    <n v="16130"/>
    <n v="20"/>
    <n v="167752"/>
    <n v="41938"/>
    <s v="Unique Order ID"/>
  </r>
  <r>
    <s v="ORD10947"/>
    <x v="0"/>
    <x v="3"/>
    <x v="1"/>
    <x v="2"/>
    <x v="2"/>
    <x v="2"/>
    <n v="11"/>
    <n v="33275"/>
    <n v="0"/>
    <n v="366025"/>
    <n v="0"/>
    <s v="Unique Order ID"/>
  </r>
  <r>
    <s v="ORD10948"/>
    <x v="3"/>
    <x v="17"/>
    <x v="1"/>
    <x v="3"/>
    <x v="2"/>
    <x v="15"/>
    <n v="5"/>
    <n v="53181"/>
    <n v="15"/>
    <n v="226019.25"/>
    <n v="39885.75"/>
    <s v="Unique Order ID"/>
  </r>
  <r>
    <s v="ORD10949"/>
    <x v="2"/>
    <x v="2"/>
    <x v="2"/>
    <x v="0"/>
    <x v="0"/>
    <x v="8"/>
    <n v="8"/>
    <n v="56182"/>
    <n v="0"/>
    <n v="449456"/>
    <n v="0"/>
    <s v="Unique Order ID"/>
  </r>
  <r>
    <s v="ORD10950"/>
    <x v="3"/>
    <x v="14"/>
    <x v="2"/>
    <x v="1"/>
    <x v="1"/>
    <x v="4"/>
    <n v="8"/>
    <n v="55173"/>
    <n v="0"/>
    <n v="441384"/>
    <n v="0"/>
    <s v="Unique Order ID"/>
  </r>
  <r>
    <s v="ORD10951"/>
    <x v="27"/>
    <x v="8"/>
    <x v="0"/>
    <x v="1"/>
    <x v="2"/>
    <x v="15"/>
    <n v="14"/>
    <n v="30822.7"/>
    <n v="15"/>
    <n v="431517.8"/>
    <n v="64727.67"/>
    <s v="Unique Order ID"/>
  </r>
  <r>
    <s v="ORD10952"/>
    <x v="10"/>
    <x v="10"/>
    <x v="3"/>
    <x v="2"/>
    <x v="1"/>
    <x v="7"/>
    <n v="2"/>
    <n v="55358"/>
    <n v="5"/>
    <n v="105180.2"/>
    <n v="5535.8"/>
    <s v="Unique Order ID"/>
  </r>
  <r>
    <s v="ORD10953"/>
    <x v="11"/>
    <x v="4"/>
    <x v="1"/>
    <x v="0"/>
    <x v="2"/>
    <x v="2"/>
    <n v="9"/>
    <n v="39846"/>
    <n v="0"/>
    <n v="358614"/>
    <n v="0"/>
    <s v="Unique Order ID"/>
  </r>
  <r>
    <s v="ORD10954"/>
    <x v="10"/>
    <x v="16"/>
    <x v="3"/>
    <x v="1"/>
    <x v="0"/>
    <x v="18"/>
    <n v="7"/>
    <n v="57270"/>
    <n v="20"/>
    <n v="320712"/>
    <n v="80178"/>
    <s v="Unique Order ID"/>
  </r>
  <r>
    <s v="ORD10955"/>
    <x v="87"/>
    <x v="3"/>
    <x v="2"/>
    <x v="0"/>
    <x v="2"/>
    <x v="15"/>
    <n v="7"/>
    <n v="14887.199999999999"/>
    <n v="20"/>
    <n v="104210.4"/>
    <n v="20842.080000000002"/>
    <s v="Unique Order ID"/>
  </r>
  <r>
    <s v="ORD10956"/>
    <x v="31"/>
    <x v="5"/>
    <x v="2"/>
    <x v="2"/>
    <x v="2"/>
    <x v="15"/>
    <n v="6"/>
    <n v="4609"/>
    <n v="15"/>
    <n v="23505.9"/>
    <n v="4148.0999999999995"/>
    <s v="Unique Order ID"/>
  </r>
  <r>
    <s v="ORD10957"/>
    <x v="5"/>
    <x v="10"/>
    <x v="1"/>
    <x v="0"/>
    <x v="2"/>
    <x v="9"/>
    <n v="13"/>
    <n v="30023"/>
    <n v="0"/>
    <n v="390299"/>
    <n v="0"/>
    <s v="Unique Order ID"/>
  </r>
  <r>
    <s v="ORD10958"/>
    <x v="54"/>
    <x v="12"/>
    <x v="3"/>
    <x v="4"/>
    <x v="1"/>
    <x v="20"/>
    <n v="7"/>
    <n v="37499"/>
    <n v="15"/>
    <n v="223119.05"/>
    <n v="39373.949999999997"/>
    <s v="Unique Order ID"/>
  </r>
  <r>
    <s v="ORD10959"/>
    <x v="69"/>
    <x v="7"/>
    <x v="0"/>
    <x v="0"/>
    <x v="1"/>
    <x v="7"/>
    <n v="1"/>
    <n v="59447"/>
    <n v="5"/>
    <n v="56474.65"/>
    <n v="2972.3500000000004"/>
    <s v="Unique Order ID"/>
  </r>
  <r>
    <s v="ORD10960"/>
    <x v="57"/>
    <x v="10"/>
    <x v="1"/>
    <x v="2"/>
    <x v="1"/>
    <x v="23"/>
    <n v="10"/>
    <n v="23622"/>
    <n v="10"/>
    <n v="212598"/>
    <n v="23622"/>
    <s v="Unique Order ID"/>
  </r>
  <r>
    <s v="ORD10961"/>
    <x v="84"/>
    <x v="19"/>
    <x v="2"/>
    <x v="2"/>
    <x v="0"/>
    <x v="21"/>
    <n v="7"/>
    <n v="21348"/>
    <n v="0"/>
    <n v="149436"/>
    <n v="0"/>
    <s v="Unique Order ID"/>
  </r>
  <r>
    <s v="ORD10962"/>
    <x v="55"/>
    <x v="14"/>
    <x v="2"/>
    <x v="1"/>
    <x v="2"/>
    <x v="10"/>
    <n v="10"/>
    <n v="43527"/>
    <n v="0"/>
    <n v="435270"/>
    <n v="0"/>
    <s v="Unique Order ID"/>
  </r>
  <r>
    <s v="ORD10963"/>
    <x v="51"/>
    <x v="15"/>
    <x v="3"/>
    <x v="1"/>
    <x v="0"/>
    <x v="12"/>
    <n v="15"/>
    <n v="20311"/>
    <n v="20"/>
    <n v="243732"/>
    <n v="60933"/>
    <s v="Unique Order ID"/>
  </r>
  <r>
    <s v="ORD10964"/>
    <x v="59"/>
    <x v="11"/>
    <x v="2"/>
    <x v="2"/>
    <x v="1"/>
    <x v="5"/>
    <n v="4"/>
    <n v="28117"/>
    <n v="10"/>
    <n v="101221.2"/>
    <n v="11246.800000000001"/>
    <s v="Unique Order ID"/>
  </r>
  <r>
    <s v="ORD10965"/>
    <x v="24"/>
    <x v="16"/>
    <x v="1"/>
    <x v="4"/>
    <x v="1"/>
    <x v="16"/>
    <n v="7"/>
    <n v="15761"/>
    <n v="0"/>
    <n v="104810.65"/>
    <n v="0"/>
    <s v="Unique Order ID"/>
  </r>
  <r>
    <s v="ORD10966"/>
    <x v="29"/>
    <x v="11"/>
    <x v="0"/>
    <x v="1"/>
    <x v="0"/>
    <x v="17"/>
    <n v="8"/>
    <n v="14509"/>
    <n v="0"/>
    <n v="116072"/>
    <n v="0"/>
    <s v="Unique Order ID"/>
  </r>
  <r>
    <s v="ORD10967"/>
    <x v="54"/>
    <x v="15"/>
    <x v="1"/>
    <x v="4"/>
    <x v="1"/>
    <x v="20"/>
    <n v="3"/>
    <n v="17016"/>
    <n v="0"/>
    <n v="51048"/>
    <n v="0"/>
    <s v="Unique Order ID"/>
  </r>
  <r>
    <s v="ORD10968"/>
    <x v="0"/>
    <x v="16"/>
    <x v="3"/>
    <x v="0"/>
    <x v="1"/>
    <x v="7"/>
    <n v="13"/>
    <n v="12030"/>
    <n v="20"/>
    <n v="125112"/>
    <n v="31278"/>
    <s v="Unique Order ID"/>
  </r>
  <r>
    <s v="ORD10969"/>
    <x v="72"/>
    <x v="12"/>
    <x v="3"/>
    <x v="2"/>
    <x v="0"/>
    <x v="0"/>
    <n v="2"/>
    <n v="9581"/>
    <n v="10"/>
    <n v="17245.8"/>
    <n v="1916.2"/>
    <s v="Unique Order ID"/>
  </r>
  <r>
    <s v="ORD10970"/>
    <x v="57"/>
    <x v="7"/>
    <x v="3"/>
    <x v="3"/>
    <x v="0"/>
    <x v="18"/>
    <n v="2"/>
    <n v="45790"/>
    <n v="5"/>
    <n v="87001"/>
    <n v="4579"/>
    <s v="Unique Order ID"/>
  </r>
  <r>
    <s v="ORD10971"/>
    <x v="67"/>
    <x v="4"/>
    <x v="1"/>
    <x v="1"/>
    <x v="1"/>
    <x v="6"/>
    <n v="9"/>
    <n v="50334"/>
    <n v="15"/>
    <n v="385055.1"/>
    <n v="67950.899999999994"/>
    <s v="Unique Order ID"/>
  </r>
  <r>
    <s v="ORD10972"/>
    <x v="42"/>
    <x v="5"/>
    <x v="1"/>
    <x v="0"/>
    <x v="1"/>
    <x v="7"/>
    <n v="2"/>
    <n v="11102"/>
    <n v="20"/>
    <n v="17763.2"/>
    <n v="4440.8"/>
    <s v="Unique Order ID"/>
  </r>
  <r>
    <s v="ORD10973"/>
    <x v="70"/>
    <x v="7"/>
    <x v="2"/>
    <x v="2"/>
    <x v="2"/>
    <x v="3"/>
    <n v="12"/>
    <n v="17554"/>
    <n v="20"/>
    <n v="168518.39999999999"/>
    <n v="42129.600000000006"/>
    <s v="Unique Order ID"/>
  </r>
  <r>
    <s v="ORD10974"/>
    <x v="86"/>
    <x v="6"/>
    <x v="2"/>
    <x v="0"/>
    <x v="2"/>
    <x v="9"/>
    <n v="12"/>
    <n v="503"/>
    <n v="15"/>
    <n v="5130.6000000000004"/>
    <n v="905.4"/>
    <s v="Unique Order ID"/>
  </r>
  <r>
    <s v="ORD10975"/>
    <x v="76"/>
    <x v="4"/>
    <x v="1"/>
    <x v="4"/>
    <x v="2"/>
    <x v="2"/>
    <n v="14"/>
    <n v="54478"/>
    <n v="0"/>
    <n v="762692"/>
    <n v="0"/>
    <s v="Unique Order ID"/>
  </r>
  <r>
    <s v="ORD10976"/>
    <x v="26"/>
    <x v="18"/>
    <x v="2"/>
    <x v="2"/>
    <x v="1"/>
    <x v="4"/>
    <n v="3"/>
    <n v="36005"/>
    <n v="0"/>
    <n v="108015"/>
    <n v="0"/>
    <s v="Unique Order ID"/>
  </r>
  <r>
    <s v="ORD10977"/>
    <x v="18"/>
    <x v="14"/>
    <x v="3"/>
    <x v="3"/>
    <x v="0"/>
    <x v="18"/>
    <n v="12"/>
    <n v="5729"/>
    <n v="5"/>
    <n v="65310.6"/>
    <n v="3437.4"/>
    <s v="Unique Order ID"/>
  </r>
  <r>
    <s v="ORD10978"/>
    <x v="44"/>
    <x v="4"/>
    <x v="2"/>
    <x v="3"/>
    <x v="0"/>
    <x v="21"/>
    <n v="7"/>
    <n v="14380"/>
    <n v="0"/>
    <n v="100660"/>
    <n v="0"/>
    <s v="Unique Order ID"/>
  </r>
  <r>
    <s v="ORD10979"/>
    <x v="62"/>
    <x v="12"/>
    <x v="1"/>
    <x v="1"/>
    <x v="0"/>
    <x v="0"/>
    <n v="4"/>
    <n v="43825"/>
    <n v="15"/>
    <n v="149005"/>
    <n v="26295"/>
    <s v="Unique Order ID"/>
  </r>
  <r>
    <s v="ORD10980"/>
    <x v="50"/>
    <x v="17"/>
    <x v="0"/>
    <x v="1"/>
    <x v="2"/>
    <x v="9"/>
    <n v="1"/>
    <n v="32397"/>
    <n v="20"/>
    <n v="25917.599999999999"/>
    <n v="6479.4000000000005"/>
    <s v="Unique Order ID"/>
  </r>
  <r>
    <s v="ORD10981"/>
    <x v="30"/>
    <x v="1"/>
    <x v="0"/>
    <x v="2"/>
    <x v="1"/>
    <x v="5"/>
    <n v="5"/>
    <n v="49165"/>
    <n v="5"/>
    <n v="233533.75"/>
    <n v="12291.25"/>
    <s v="Unique Order ID"/>
  </r>
  <r>
    <s v="ORD10982"/>
    <x v="33"/>
    <x v="6"/>
    <x v="1"/>
    <x v="3"/>
    <x v="1"/>
    <x v="11"/>
    <n v="9"/>
    <n v="12707"/>
    <n v="10"/>
    <n v="102926.7"/>
    <n v="11436.300000000001"/>
    <s v="Unique Order ID"/>
  </r>
  <r>
    <s v="ORD10983"/>
    <x v="67"/>
    <x v="17"/>
    <x v="2"/>
    <x v="4"/>
    <x v="1"/>
    <x v="5"/>
    <n v="13"/>
    <n v="1033"/>
    <n v="0"/>
    <n v="13429"/>
    <n v="0"/>
    <s v="Unique Order ID"/>
  </r>
  <r>
    <s v="ORD10984"/>
    <x v="31"/>
    <x v="0"/>
    <x v="3"/>
    <x v="1"/>
    <x v="1"/>
    <x v="22"/>
    <n v="9"/>
    <n v="6750"/>
    <n v="0"/>
    <n v="60750"/>
    <n v="0"/>
    <s v="Unique Order ID"/>
  </r>
  <r>
    <s v="ORD10985"/>
    <x v="14"/>
    <x v="15"/>
    <x v="0"/>
    <x v="3"/>
    <x v="0"/>
    <x v="0"/>
    <n v="4"/>
    <n v="28209"/>
    <n v="0"/>
    <n v="112836"/>
    <n v="0"/>
    <s v="Unique Order ID"/>
  </r>
  <r>
    <s v="ORD10986"/>
    <x v="50"/>
    <x v="13"/>
    <x v="3"/>
    <x v="1"/>
    <x v="1"/>
    <x v="23"/>
    <n v="12"/>
    <n v="32484"/>
    <n v="5"/>
    <n v="370317.6"/>
    <n v="19490.400000000001"/>
    <s v="Unique Order ID"/>
  </r>
  <r>
    <s v="ORD10987"/>
    <x v="7"/>
    <x v="7"/>
    <x v="3"/>
    <x v="3"/>
    <x v="0"/>
    <x v="8"/>
    <n v="10"/>
    <n v="48845"/>
    <n v="5"/>
    <n v="464027.5"/>
    <n v="24422.5"/>
    <s v="Unique Order ID"/>
  </r>
  <r>
    <s v="ORD10988"/>
    <x v="2"/>
    <x v="17"/>
    <x v="2"/>
    <x v="0"/>
    <x v="1"/>
    <x v="22"/>
    <n v="5"/>
    <n v="34925"/>
    <n v="0"/>
    <n v="174625"/>
    <n v="0"/>
    <s v="Unique Order ID"/>
  </r>
  <r>
    <s v="ORD10989"/>
    <x v="50"/>
    <x v="3"/>
    <x v="2"/>
    <x v="1"/>
    <x v="0"/>
    <x v="14"/>
    <n v="10"/>
    <n v="52286"/>
    <n v="0"/>
    <n v="522860"/>
    <n v="0"/>
    <s v="Unique Order ID"/>
  </r>
  <r>
    <s v="ORD10990"/>
    <x v="36"/>
    <x v="5"/>
    <x v="2"/>
    <x v="4"/>
    <x v="2"/>
    <x v="10"/>
    <n v="15"/>
    <n v="2275"/>
    <n v="15"/>
    <n v="29006.25"/>
    <n v="5118.75"/>
    <s v="Unique Order ID"/>
  </r>
  <r>
    <s v="ORD10991"/>
    <x v="79"/>
    <x v="10"/>
    <x v="3"/>
    <x v="3"/>
    <x v="0"/>
    <x v="8"/>
    <n v="3"/>
    <n v="6745"/>
    <n v="0"/>
    <n v="20235"/>
    <n v="0"/>
    <s v="Unique Order ID"/>
  </r>
  <r>
    <s v="ORD10992"/>
    <x v="55"/>
    <x v="6"/>
    <x v="3"/>
    <x v="3"/>
    <x v="0"/>
    <x v="19"/>
    <n v="1"/>
    <n v="36461"/>
    <n v="15"/>
    <n v="30991.85"/>
    <n v="5469.15"/>
    <s v="Unique Order ID"/>
  </r>
  <r>
    <s v="ORD10993"/>
    <x v="18"/>
    <x v="3"/>
    <x v="1"/>
    <x v="3"/>
    <x v="1"/>
    <x v="22"/>
    <n v="2"/>
    <n v="58576"/>
    <n v="20"/>
    <n v="93721.600000000006"/>
    <n v="23430.400000000001"/>
    <s v="Unique Order ID"/>
  </r>
  <r>
    <s v="ORD10994"/>
    <x v="81"/>
    <x v="19"/>
    <x v="3"/>
    <x v="2"/>
    <x v="0"/>
    <x v="12"/>
    <n v="12"/>
    <n v="20099"/>
    <n v="5"/>
    <n v="229128.6"/>
    <n v="12059.400000000001"/>
    <s v="Unique Order ID"/>
  </r>
  <r>
    <s v="ORD10995"/>
    <x v="61"/>
    <x v="7"/>
    <x v="2"/>
    <x v="3"/>
    <x v="2"/>
    <x v="13"/>
    <n v="14"/>
    <n v="37438"/>
    <n v="20"/>
    <n v="419305.6"/>
    <n v="104826.40000000001"/>
    <s v="Unique Order ID"/>
  </r>
  <r>
    <s v="ORD10996"/>
    <x v="72"/>
    <x v="18"/>
    <x v="3"/>
    <x v="3"/>
    <x v="1"/>
    <x v="20"/>
    <n v="13"/>
    <n v="56044"/>
    <n v="5"/>
    <n v="692143.4"/>
    <n v="36428.6"/>
    <s v="Unique Order ID"/>
  </r>
  <r>
    <s v="ORD10997"/>
    <x v="28"/>
    <x v="19"/>
    <x v="3"/>
    <x v="1"/>
    <x v="0"/>
    <x v="2"/>
    <n v="15"/>
    <n v="36347"/>
    <n v="0"/>
    <n v="545205"/>
    <n v="0"/>
    <s v="Unique Order ID"/>
  </r>
  <r>
    <s v="ORD10998"/>
    <x v="23"/>
    <x v="0"/>
    <x v="1"/>
    <x v="1"/>
    <x v="1"/>
    <x v="11"/>
    <n v="2"/>
    <n v="21397"/>
    <n v="20"/>
    <n v="34235.199999999997"/>
    <n v="8558.8000000000011"/>
    <s v="Unique Order ID"/>
  </r>
  <r>
    <s v="ORD10999"/>
    <x v="79"/>
    <x v="1"/>
    <x v="0"/>
    <x v="2"/>
    <x v="0"/>
    <x v="8"/>
    <n v="5"/>
    <n v="56956"/>
    <n v="15"/>
    <n v="242063"/>
    <n v="42717"/>
    <s v="Unique Order ID"/>
  </r>
  <r>
    <s v="ORD11000"/>
    <x v="76"/>
    <x v="18"/>
    <x v="3"/>
    <x v="2"/>
    <x v="1"/>
    <x v="7"/>
    <n v="15"/>
    <n v="16559"/>
    <n v="0"/>
    <n v="211127.25"/>
    <n v="0"/>
    <s v="Unique Order 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51A34-5CF0-4779-899E-D2613D0A5249}" name="top_produc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13:F14"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axis="axisRow" showAll="0" measureFilter="1">
      <items count="25">
        <item x="18"/>
        <item x="19"/>
        <item x="0"/>
        <item x="5"/>
        <item x="8"/>
        <item x="14"/>
        <item x="17"/>
        <item x="12"/>
        <item x="2"/>
        <item x="1"/>
        <item x="20"/>
        <item x="16"/>
        <item x="6"/>
        <item x="11"/>
        <item x="13"/>
        <item x="3"/>
        <item x="10"/>
        <item x="22"/>
        <item x="21"/>
        <item x="4"/>
        <item x="9"/>
        <item x="7"/>
        <item x="23"/>
        <item x="15"/>
        <item t="default"/>
      </items>
    </pivotField>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
    <i>
      <x v="14"/>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7E4E0-8BE1-407C-B6BC-AB937E40A053}" name="top_5_custo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3:J19"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axis="axisRow" showAll="0" measureFilter="1" sortType="ascending">
      <items count="21">
        <item x="6"/>
        <item x="19"/>
        <item x="1"/>
        <item x="18"/>
        <item x="13"/>
        <item x="9"/>
        <item x="15"/>
        <item x="12"/>
        <item x="4"/>
        <item x="8"/>
        <item x="17"/>
        <item x="3"/>
        <item x="2"/>
        <item x="7"/>
        <item x="10"/>
        <item x="0"/>
        <item x="5"/>
        <item x="11"/>
        <item x="16"/>
        <item x="14"/>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measureFilter="1"/>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8"/>
    </i>
    <i>
      <x v="3"/>
    </i>
    <i>
      <x v="11"/>
    </i>
    <i>
      <x v="10"/>
    </i>
    <i>
      <x v="15"/>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3" iMeasureFld="0">
      <autoFilter ref="A1">
        <filterColumn colId="0">
          <top10 val="5" filterVal="5"/>
        </filterColumn>
      </autoFilter>
    </filter>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9C38C-6B82-49DE-89EF-DBD714626F7E}" name="sales_by_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B38"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axis="axisRow" showAll="0">
      <items count="25">
        <item x="18"/>
        <item x="19"/>
        <item x="0"/>
        <item x="5"/>
        <item x="8"/>
        <item x="14"/>
        <item x="17"/>
        <item x="12"/>
        <item x="2"/>
        <item x="1"/>
        <item x="20"/>
        <item x="16"/>
        <item x="6"/>
        <item x="11"/>
        <item x="13"/>
        <item x="3"/>
        <item x="10"/>
        <item x="22"/>
        <item x="21"/>
        <item x="4"/>
        <item x="9"/>
        <item x="7"/>
        <item x="23"/>
        <item x="15"/>
        <item t="default"/>
      </items>
    </pivotField>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74DC0D-CA1A-445D-A9EB-0468CFE9F8DD}" name="sales_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7" firstHeaderRow="1" firstDataRow="1" firstDataCol="1"/>
  <pivotFields count="15">
    <pivotField showAll="0"/>
    <pivotField axis="axisRow"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items count="5">
        <item x="0"/>
        <item x="3"/>
        <item x="1"/>
        <item x="2"/>
        <item t="default"/>
      </items>
    </pivotField>
    <pivotField showAll="0">
      <items count="6">
        <item x="4"/>
        <item x="2"/>
        <item x="0"/>
        <item x="1"/>
        <item x="3"/>
        <item t="default"/>
      </items>
    </pivotField>
    <pivotField showAll="0">
      <items count="4">
        <item x="1"/>
        <item x="0"/>
        <item x="2"/>
        <item t="default"/>
      </items>
    </pivotField>
    <pivotField showAll="0"/>
    <pivotField showAll="0"/>
    <pivotField showAll="0"/>
    <pivotField numFmtId="1" showAll="0"/>
    <pivotField dataField="1" numFmtId="164" showAll="0"/>
    <pivotField numFmtId="16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0D4434-1B70-47F5-9D09-E626392813AB}" name="sales_by_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7"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axis="axisRow" showAll="0">
      <items count="5">
        <item x="0"/>
        <item x="3"/>
        <item x="1"/>
        <item x="2"/>
        <item t="default"/>
      </items>
    </pivotField>
    <pivotField showAll="0">
      <items count="6">
        <item x="4"/>
        <item x="2"/>
        <item x="0"/>
        <item x="1"/>
        <item x="3"/>
        <item t="default"/>
      </items>
    </pivotField>
    <pivotField showAll="0">
      <items count="4">
        <item x="1"/>
        <item x="0"/>
        <item x="2"/>
        <item t="default"/>
      </items>
    </pivotField>
    <pivotField showAll="0">
      <items count="25">
        <item x="18"/>
        <item x="19"/>
        <item x="0"/>
        <item x="5"/>
        <item x="8"/>
        <item x="14"/>
        <item x="17"/>
        <item x="12"/>
        <item x="2"/>
        <item x="1"/>
        <item x="20"/>
        <item x="16"/>
        <item x="6"/>
        <item x="11"/>
        <item x="13"/>
        <item x="3"/>
        <item x="10"/>
        <item x="22"/>
        <item x="21"/>
        <item x="4"/>
        <item x="9"/>
        <item x="7"/>
        <item x="23"/>
        <item x="15"/>
        <item t="default"/>
      </items>
    </pivotField>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E6B270-8E58-4E53-A1B4-A7D61B70BDEC}" name="sales_by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2:F6"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items count="5">
        <item x="0"/>
        <item x="3"/>
        <item x="1"/>
        <item x="2"/>
        <item t="default"/>
      </items>
    </pivotField>
    <pivotField showAll="0">
      <items count="6">
        <item x="4"/>
        <item x="2"/>
        <item x="0"/>
        <item x="1"/>
        <item x="3"/>
        <item t="default"/>
      </items>
    </pivotField>
    <pivotField axis="axisRow" showAll="0">
      <items count="4">
        <item x="1"/>
        <item x="0"/>
        <item x="2"/>
        <item t="default"/>
      </items>
    </pivotField>
    <pivotField showAll="0"/>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160464-6BAA-4F74-870A-30D426414978}" name="sales_by_salesper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J8"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items count="5">
        <item x="0"/>
        <item x="3"/>
        <item x="1"/>
        <item x="2"/>
        <item t="default"/>
      </items>
    </pivotField>
    <pivotField axis="axisRow"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4"/>
    </i>
    <i>
      <x v="2"/>
    </i>
    <i>
      <x/>
    </i>
    <i>
      <x v="3"/>
    </i>
    <i>
      <x v="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469-0DD9-4440-8245-8AB4FBC54CCD}" name="top_5_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7:F33"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items count="5">
        <item x="0"/>
        <item x="3"/>
        <item x="1"/>
        <item x="2"/>
        <item t="default"/>
      </items>
    </pivotField>
    <pivotField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measureFilter="1" sortType="ascending">
      <items count="25">
        <item x="18"/>
        <item x="19"/>
        <item x="0"/>
        <item x="5"/>
        <item x="8"/>
        <item x="14"/>
        <item x="17"/>
        <item x="12"/>
        <item x="2"/>
        <item x="1"/>
        <item x="20"/>
        <item x="16"/>
        <item x="6"/>
        <item x="11"/>
        <item x="13"/>
        <item x="3"/>
        <item x="10"/>
        <item x="22"/>
        <item x="21"/>
        <item x="4"/>
        <item x="9"/>
        <item x="7"/>
        <item x="23"/>
        <item x="1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3"/>
    </i>
    <i>
      <x v="16"/>
    </i>
    <i>
      <x v="20"/>
    </i>
    <i>
      <x v="8"/>
    </i>
    <i>
      <x v="1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34F315-15E4-40BE-905E-DB4C7993E01A}" name="top_customer"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I24:J25"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axis="axisRow" showAll="0" measureFilter="1">
      <items count="21">
        <item x="6"/>
        <item x="19"/>
        <item x="1"/>
        <item x="18"/>
        <item x="13"/>
        <item x="9"/>
        <item x="15"/>
        <item x="12"/>
        <item x="4"/>
        <item x="8"/>
        <item x="17"/>
        <item x="3"/>
        <item x="2"/>
        <item x="7"/>
        <item x="10"/>
        <item x="0"/>
        <item x="5"/>
        <item x="11"/>
        <item x="16"/>
        <item x="14"/>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measureFilter="1"/>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
    <i>
      <x v="15"/>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4" iMeasureFld="0">
      <autoFilter ref="A1">
        <filterColumn colId="0">
          <top10 val="1" filterVal="1"/>
        </filterColumn>
      </autoFilter>
    </filter>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0D9819-4A09-4904-8751-67623BD36788}" name="bottom_produc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20:F21" firstHeaderRow="1" firstDataRow="1" firstDataCol="1"/>
  <pivotFields count="15">
    <pivotField showAll="0"/>
    <pivotField showAll="0">
      <items count="92">
        <item x="57"/>
        <item x="70"/>
        <item x="11"/>
        <item x="46"/>
        <item x="4"/>
        <item x="6"/>
        <item x="73"/>
        <item x="12"/>
        <item x="20"/>
        <item x="29"/>
        <item x="84"/>
        <item x="80"/>
        <item x="42"/>
        <item x="66"/>
        <item x="59"/>
        <item x="18"/>
        <item x="1"/>
        <item x="41"/>
        <item x="9"/>
        <item x="23"/>
        <item x="65"/>
        <item x="88"/>
        <item x="5"/>
        <item x="56"/>
        <item x="83"/>
        <item x="76"/>
        <item x="15"/>
        <item x="68"/>
        <item x="52"/>
        <item x="36"/>
        <item x="35"/>
        <item x="16"/>
        <item x="82"/>
        <item x="40"/>
        <item x="26"/>
        <item x="0"/>
        <item x="37"/>
        <item x="67"/>
        <item x="14"/>
        <item x="78"/>
        <item x="27"/>
        <item x="60"/>
        <item x="75"/>
        <item x="19"/>
        <item x="22"/>
        <item x="90"/>
        <item x="28"/>
        <item x="72"/>
        <item x="32"/>
        <item x="39"/>
        <item x="43"/>
        <item x="81"/>
        <item x="47"/>
        <item x="2"/>
        <item x="64"/>
        <item x="71"/>
        <item x="63"/>
        <item x="62"/>
        <item x="89"/>
        <item x="50"/>
        <item x="44"/>
        <item x="45"/>
        <item x="69"/>
        <item x="85"/>
        <item x="33"/>
        <item x="30"/>
        <item x="8"/>
        <item x="51"/>
        <item x="77"/>
        <item x="61"/>
        <item x="53"/>
        <item x="38"/>
        <item x="49"/>
        <item x="58"/>
        <item x="74"/>
        <item x="10"/>
        <item x="86"/>
        <item x="3"/>
        <item x="21"/>
        <item x="54"/>
        <item x="87"/>
        <item x="13"/>
        <item x="17"/>
        <item x="48"/>
        <item x="24"/>
        <item x="25"/>
        <item x="79"/>
        <item x="55"/>
        <item x="34"/>
        <item x="7"/>
        <item x="3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axis="axisRow" showAll="0" measureFilter="1">
      <items count="25">
        <item x="18"/>
        <item x="19"/>
        <item x="0"/>
        <item x="5"/>
        <item x="8"/>
        <item x="14"/>
        <item x="17"/>
        <item x="12"/>
        <item x="2"/>
        <item x="1"/>
        <item x="20"/>
        <item x="16"/>
        <item x="6"/>
        <item x="11"/>
        <item x="13"/>
        <item x="3"/>
        <item x="10"/>
        <item x="22"/>
        <item x="21"/>
        <item x="4"/>
        <item x="9"/>
        <item x="7"/>
        <item x="23"/>
        <item x="15"/>
        <item t="default"/>
      </items>
    </pivotField>
    <pivotField showAll="0"/>
    <pivotField showAll="0"/>
    <pivotField numFmtId="1" showAll="0"/>
    <pivotField dataField="1"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
    <i>
      <x v="19"/>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87C9C64-7DC6-4ABF-8D95-3909FE85C431}" autoFormatId="16" applyNumberFormats="0" applyBorderFormats="0" applyFontFormats="0" applyPatternFormats="0" applyAlignmentFormats="0" applyWidthHeightFormats="0">
  <queryTableRefresh nextId="22" unboundColumnsRight="2">
    <queryTableFields count="13">
      <queryTableField id="1" name="Order ID" tableColumnId="1"/>
      <queryTableField id="2" name="Order Date" tableColumnId="2"/>
      <queryTableField id="12" dataBound="0" tableColumnId="12"/>
      <queryTableField id="13" dataBound="0" tableColumnId="13"/>
      <queryTableField id="5" name="Salesperson" tableColumnId="5"/>
      <queryTableField id="14" dataBound="0" tableColumnId="4"/>
      <queryTableField id="15" dataBound="0" tableColumnId="6"/>
      <queryTableField id="8" name="Quantity" tableColumnId="8"/>
      <queryTableField id="9" name="Unit Price" tableColumnId="9"/>
      <queryTableField id="10" name="Discount %" tableColumnId="10"/>
      <queryTableField id="11" name="Sales" tableColumnId="11"/>
      <queryTableField id="20" dataBound="0" tableColumnId="17"/>
      <queryTableField id="16" dataBound="0" tableColumnId="7"/>
    </queryTableFields>
    <queryTableDeletedFields count="4">
      <deletedField name="Customer"/>
      <deletedField name="Region"/>
      <deletedField name="Category"/>
      <deletedField name="Produc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963FE0-28AD-4AAA-9A6A-FEBE5544B5D8}" sourceName="Region">
  <pivotTables>
    <pivotTable tabId="5" name="sales_by_region"/>
    <pivotTable tabId="5" name="sales_by_category"/>
    <pivotTable tabId="5" name="sales_by_salesperson"/>
    <pivotTable tabId="5" name="sales_trend"/>
    <pivotTable tabId="5" name="top_5_customers"/>
    <pivotTable tabId="5" name="top_5_products"/>
  </pivotTables>
  <data>
    <tabular pivotCacheId="1388128563">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2474C43-C99A-4385-BA5C-0E8364602F7C}" sourceName="Salesperson">
  <pivotTables>
    <pivotTable tabId="5" name="sales_by_region"/>
    <pivotTable tabId="5" name="sales_by_category"/>
    <pivotTable tabId="5" name="sales_by_salesperson"/>
    <pivotTable tabId="5" name="sales_trend"/>
    <pivotTable tabId="5" name="top_5_customers"/>
    <pivotTable tabId="5" name="top_5_products"/>
  </pivotTables>
  <data>
    <tabular pivotCacheId="1388128563">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9C271E-6D4D-415B-AABD-DE956A5F62CE}" sourceName="Category">
  <pivotTables>
    <pivotTable tabId="5" name="sales_by_region"/>
    <pivotTable tabId="5" name="sales_by_category"/>
    <pivotTable tabId="5" name="sales_by_salesperson"/>
    <pivotTable tabId="5" name="sales_trend"/>
    <pivotTable tabId="5" name="top_5_customers"/>
    <pivotTable tabId="5" name="top_5_products"/>
  </pivotTables>
  <data>
    <tabular pivotCacheId="138812856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AF377A-8EC4-4D82-A569-5656AA0B2635}" cache="Slicer_Region" caption="Region" style="SlicerStyleDark3" rowHeight="234950"/>
  <slicer name="Salesperson" xr10:uid="{67F0CF2D-B121-4F07-B816-C59AEE3D563A}" cache="Slicer_Salesperson" caption="Salesperson" style="SlicerStyleDark3" rowHeight="234950"/>
  <slicer name="Category" xr10:uid="{F904E950-9742-4097-93F0-130FDA4889D1}" cache="Slicer_Category" caption="Category"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E2CC3C-8814-4059-A831-1AE0D26A497E}" name="Raw_Sales_Data3" displayName="Raw_Sales_Data3" ref="A1:M1001" tableType="queryTable" totalsRowShown="0">
  <autoFilter ref="A1:M1001" xr:uid="{41B67B02-95EA-44ED-A723-55929C452A74}"/>
  <tableColumns count="13">
    <tableColumn id="1" xr3:uid="{79225DC1-8267-47AC-A8EA-FEF8B28DB475}" uniqueName="1" name="Order ID" queryTableFieldId="1" dataDxfId="16"/>
    <tableColumn id="2" xr3:uid="{79CFA23B-993B-4F2A-B14D-1E57BFAC59ED}" uniqueName="2" name="Order Date" queryTableFieldId="2" dataDxfId="15"/>
    <tableColumn id="12" xr3:uid="{8186B00A-1678-4B5D-893D-A35DE121EE5A}" uniqueName="12" name="Customer" queryTableFieldId="12" dataDxfId="14"/>
    <tableColumn id="13" xr3:uid="{348822B2-A167-4EBF-8683-8FC9871EB095}" uniqueName="13" name="Region" queryTableFieldId="13" dataDxfId="13"/>
    <tableColumn id="5" xr3:uid="{6CBAB551-4EE2-4AFF-A2F9-E6D6BC807A88}" uniqueName="5" name="Salesperson" queryTableFieldId="5" dataDxfId="12"/>
    <tableColumn id="4" xr3:uid="{58CB9022-091C-4559-9D36-29AD14FCF5C6}" uniqueName="4" name="Category" queryTableFieldId="14" dataDxfId="11"/>
    <tableColumn id="6" xr3:uid="{538619E7-2A4D-4D84-AD99-737627EA149C}" uniqueName="6" name="Product" queryTableFieldId="15" dataDxfId="10"/>
    <tableColumn id="8" xr3:uid="{87F97A15-4DB1-4F92-8C3D-068B40EA3289}" uniqueName="8" name="Quantity" queryTableFieldId="8" dataDxfId="9"/>
    <tableColumn id="9" xr3:uid="{2B288A03-F1C4-4F52-970D-7BA7A1F6B145}" uniqueName="9" name="Unit Price" queryTableFieldId="9" dataDxfId="8"/>
    <tableColumn id="10" xr3:uid="{527E8CFB-7429-419B-8223-425914F9F9E4}" uniqueName="10" name="Discount %" queryTableFieldId="10" dataDxfId="7"/>
    <tableColumn id="11" xr3:uid="{39BB2742-A140-4058-B22B-7AD3989B8EE1}" uniqueName="11" name="Sales" queryTableFieldId="11" dataDxfId="6"/>
    <tableColumn id="17" xr3:uid="{555B0F63-36F2-4A0B-8D67-727AA7C6E8E3}" uniqueName="17" name="Discount Amount" queryTableFieldId="20" dataDxfId="5">
      <calculatedColumnFormula>Raw_Sales_Data3[[#This Row],[Quantity]]*Raw_Sales_Data3[[#This Row],[Unit Price]]*(Raw_Sales_Data3[[#This Row],[Discount %]]/100)</calculatedColumnFormula>
    </tableColumn>
    <tableColumn id="7" xr3:uid="{807190BE-7D64-4DE4-B569-72FB4ED928FC}" uniqueName="7" name="Duplicate Id Check" queryTableFieldId="16" dataDxfId="4">
      <calculatedColumnFormula>IF(COUNTIF(Raw_Sales_Data3[Order ID],Raw_Sales_Data3[[#This Row],[Order ID]])&gt;1,"Duplicate Order ID","Unique Order ID")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7579CA-59CC-49DC-AB0F-BF2E98C50FB6}" name="Table3" displayName="Table3" ref="A1:C8" totalsRowShown="0" dataDxfId="3">
  <autoFilter ref="A1:C8" xr:uid="{F57579CA-59CC-49DC-AB0F-BF2E98C50FB6}"/>
  <tableColumns count="3">
    <tableColumn id="1" xr3:uid="{0CD10D8E-CBD6-4FD2-AE1D-1B86234FEB32}" name="Issue" dataDxfId="2"/>
    <tableColumn id="2" xr3:uid="{38493939-DDFC-41F0-9C10-1EDAFF286DDA}" name="Count" dataDxfId="1"/>
    <tableColumn id="3" xr3:uid="{6B0C13D6-C000-4BDA-BCD8-1FB9DC8436E8}" name="Action Tak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D61F-1661-488E-A105-C048BD65458E}">
  <dimension ref="A1:R1001"/>
  <sheetViews>
    <sheetView zoomScale="83" workbookViewId="0">
      <selection activeCell="O18" sqref="O18"/>
    </sheetView>
  </sheetViews>
  <sheetFormatPr defaultRowHeight="14.4" x14ac:dyDescent="0.3"/>
  <cols>
    <col min="1" max="6" width="15.77734375" customWidth="1"/>
    <col min="7" max="8" width="15.77734375" style="5" customWidth="1"/>
    <col min="9" max="9" width="15.77734375" style="10" customWidth="1"/>
    <col min="10" max="11" width="15.77734375" style="2" customWidth="1"/>
    <col min="12" max="13" width="15.77734375" customWidth="1"/>
    <col min="14" max="14" width="9.33203125" bestFit="1" customWidth="1"/>
    <col min="16" max="16" width="12.77734375" bestFit="1" customWidth="1"/>
    <col min="17" max="17" width="12" bestFit="1" customWidth="1"/>
  </cols>
  <sheetData>
    <row r="1" spans="1:18" x14ac:dyDescent="0.3">
      <c r="A1" t="s">
        <v>0</v>
      </c>
      <c r="B1" t="s">
        <v>1</v>
      </c>
      <c r="C1" t="s">
        <v>2</v>
      </c>
      <c r="D1" t="s">
        <v>3</v>
      </c>
      <c r="E1" t="s">
        <v>4</v>
      </c>
      <c r="F1" t="s">
        <v>5</v>
      </c>
      <c r="G1" t="s">
        <v>6</v>
      </c>
      <c r="H1" s="5" t="s">
        <v>7</v>
      </c>
      <c r="I1" s="3" t="s">
        <v>8</v>
      </c>
      <c r="J1" s="10" t="s">
        <v>9</v>
      </c>
      <c r="K1" s="2" t="s">
        <v>10</v>
      </c>
      <c r="L1" s="2" t="s">
        <v>1062</v>
      </c>
      <c r="M1" t="s">
        <v>1043</v>
      </c>
    </row>
    <row r="2" spans="1:18" x14ac:dyDescent="0.3">
      <c r="A2" t="s">
        <v>11</v>
      </c>
      <c r="B2" s="1">
        <v>46058</v>
      </c>
      <c r="C2" t="s">
        <v>12</v>
      </c>
      <c r="D2" t="s">
        <v>43</v>
      </c>
      <c r="E2" t="s">
        <v>13</v>
      </c>
      <c r="F2" t="s">
        <v>14</v>
      </c>
      <c r="G2" t="s">
        <v>15</v>
      </c>
      <c r="H2" s="5">
        <v>14</v>
      </c>
      <c r="I2" s="3">
        <v>41963</v>
      </c>
      <c r="J2" s="10">
        <v>20</v>
      </c>
      <c r="K2" s="2">
        <v>469985.6</v>
      </c>
      <c r="L2" s="2">
        <f>Raw_Sales_Data3[[#This Row],[Quantity]]*Raw_Sales_Data3[[#This Row],[Unit Price]]*(Raw_Sales_Data3[[#This Row],[Discount %]]/100)</f>
        <v>117496.40000000001</v>
      </c>
      <c r="M2" t="str">
        <f>IF(COUNTIF(Raw_Sales_Data3[Order ID],Raw_Sales_Data3[[#This Row],[Order ID]])&gt;1,"Duplicate Order ID","Unique Order ID")</f>
        <v>Unique Order ID</v>
      </c>
      <c r="O2" s="3"/>
    </row>
    <row r="3" spans="1:18" x14ac:dyDescent="0.3">
      <c r="A3" t="s">
        <v>16</v>
      </c>
      <c r="B3" s="1">
        <v>46039</v>
      </c>
      <c r="C3" t="s">
        <v>17</v>
      </c>
      <c r="D3" t="s">
        <v>23</v>
      </c>
      <c r="E3" t="s">
        <v>18</v>
      </c>
      <c r="F3" t="s">
        <v>19</v>
      </c>
      <c r="G3" t="s">
        <v>20</v>
      </c>
      <c r="H3" s="5">
        <v>3</v>
      </c>
      <c r="I3" s="3">
        <v>9724</v>
      </c>
      <c r="J3" s="10">
        <v>0</v>
      </c>
      <c r="K3" s="2">
        <v>29172</v>
      </c>
      <c r="L3" s="2">
        <f>Raw_Sales_Data3[[#This Row],[Quantity]]*Raw_Sales_Data3[[#This Row],[Unit Price]]*(Raw_Sales_Data3[[#This Row],[Discount %]]/100)</f>
        <v>0</v>
      </c>
      <c r="M3" t="str">
        <f>IF(COUNTIF(Raw_Sales_Data3[Order ID],Raw_Sales_Data3[[#This Row],[Order ID]])&gt;1,"Duplicate Order ID","Unique Order ID")</f>
        <v>Unique Order ID</v>
      </c>
    </row>
    <row r="4" spans="1:18" x14ac:dyDescent="0.3">
      <c r="A4" t="s">
        <v>21</v>
      </c>
      <c r="B4" s="1">
        <v>46076</v>
      </c>
      <c r="C4" t="s">
        <v>22</v>
      </c>
      <c r="D4" t="s">
        <v>23</v>
      </c>
      <c r="E4" t="s">
        <v>18</v>
      </c>
      <c r="F4" t="s">
        <v>24</v>
      </c>
      <c r="G4" t="s">
        <v>25</v>
      </c>
      <c r="H4" s="5">
        <v>4</v>
      </c>
      <c r="I4" s="3">
        <v>48847</v>
      </c>
      <c r="J4" s="10">
        <v>20</v>
      </c>
      <c r="K4" s="2">
        <v>156310.39999999999</v>
      </c>
      <c r="L4" s="2">
        <f>Raw_Sales_Data3[[#This Row],[Quantity]]*Raw_Sales_Data3[[#This Row],[Unit Price]]*(Raw_Sales_Data3[[#This Row],[Discount %]]/100)</f>
        <v>39077.599999999999</v>
      </c>
      <c r="M4" t="str">
        <f>IF(COUNTIF(Raw_Sales_Data3[Order ID],Raw_Sales_Data3[[#This Row],[Order ID]])&gt;1,"Duplicate Order ID","Unique Order ID")</f>
        <v>Unique Order ID</v>
      </c>
    </row>
    <row r="5" spans="1:18" x14ac:dyDescent="0.3">
      <c r="A5" t="s">
        <v>26</v>
      </c>
      <c r="B5" s="1">
        <v>46100</v>
      </c>
      <c r="C5" t="s">
        <v>27</v>
      </c>
      <c r="D5" t="s">
        <v>58</v>
      </c>
      <c r="E5" t="s">
        <v>28</v>
      </c>
      <c r="F5" t="s">
        <v>24</v>
      </c>
      <c r="G5" t="s">
        <v>29</v>
      </c>
      <c r="H5" s="5">
        <v>5</v>
      </c>
      <c r="I5" s="3">
        <v>21900</v>
      </c>
      <c r="J5" s="10">
        <v>20</v>
      </c>
      <c r="K5" s="2">
        <v>87600</v>
      </c>
      <c r="L5" s="2">
        <f>Raw_Sales_Data3[[#This Row],[Quantity]]*Raw_Sales_Data3[[#This Row],[Unit Price]]*(Raw_Sales_Data3[[#This Row],[Discount %]]/100)</f>
        <v>21900</v>
      </c>
      <c r="M5" t="str">
        <f>IF(COUNTIF(Raw_Sales_Data3[Order ID],Raw_Sales_Data3[[#This Row],[Order ID]])&gt;1,"Duplicate Order ID","Unique Order ID")</f>
        <v>Unique Order ID</v>
      </c>
    </row>
    <row r="6" spans="1:18" x14ac:dyDescent="0.3">
      <c r="A6" t="s">
        <v>30</v>
      </c>
      <c r="B6" s="1">
        <v>46027</v>
      </c>
      <c r="C6" t="s">
        <v>69</v>
      </c>
      <c r="D6" t="s">
        <v>23</v>
      </c>
      <c r="E6" t="s">
        <v>18</v>
      </c>
      <c r="F6" t="s">
        <v>19</v>
      </c>
      <c r="G6" t="s">
        <v>31</v>
      </c>
      <c r="H6" s="5">
        <v>10</v>
      </c>
      <c r="I6" s="3">
        <v>43412</v>
      </c>
      <c r="J6" s="10">
        <v>10</v>
      </c>
      <c r="K6" s="2">
        <v>390708</v>
      </c>
      <c r="L6" s="2">
        <f>Raw_Sales_Data3[[#This Row],[Quantity]]*Raw_Sales_Data3[[#This Row],[Unit Price]]*(Raw_Sales_Data3[[#This Row],[Discount %]]/100)</f>
        <v>43412</v>
      </c>
      <c r="M6" t="str">
        <f>IF(COUNTIF(Raw_Sales_Data3[Order ID],Raw_Sales_Data3[[#This Row],[Order ID]])&gt;1,"Duplicate Order ID","Unique Order ID")</f>
        <v>Unique Order ID</v>
      </c>
    </row>
    <row r="7" spans="1:18" x14ac:dyDescent="0.3">
      <c r="A7" t="s">
        <v>32</v>
      </c>
      <c r="B7" s="1">
        <v>46045</v>
      </c>
      <c r="C7" s="1" t="s">
        <v>33</v>
      </c>
      <c r="D7" t="s">
        <v>70</v>
      </c>
      <c r="E7" t="s">
        <v>34</v>
      </c>
      <c r="F7" t="s">
        <v>24</v>
      </c>
      <c r="G7" t="s">
        <v>29</v>
      </c>
      <c r="H7" s="5">
        <v>4</v>
      </c>
      <c r="I7" s="3">
        <v>8907</v>
      </c>
      <c r="J7" s="10">
        <v>15</v>
      </c>
      <c r="K7" s="2">
        <v>30283.8</v>
      </c>
      <c r="L7" s="2">
        <f>Raw_Sales_Data3[[#This Row],[Quantity]]*Raw_Sales_Data3[[#This Row],[Unit Price]]*(Raw_Sales_Data3[[#This Row],[Discount %]]/100)</f>
        <v>5344.2</v>
      </c>
      <c r="M7" t="str">
        <f>IF(COUNTIF(Raw_Sales_Data3[Order ID],Raw_Sales_Data3[[#This Row],[Order ID]])&gt;1,"Duplicate Order ID","Unique Order ID")</f>
        <v>Unique Order ID</v>
      </c>
    </row>
    <row r="8" spans="1:18" x14ac:dyDescent="0.3">
      <c r="A8" t="s">
        <v>35</v>
      </c>
      <c r="B8" s="1">
        <v>46039</v>
      </c>
      <c r="C8" t="s">
        <v>36</v>
      </c>
      <c r="D8" t="s">
        <v>58</v>
      </c>
      <c r="E8" t="s">
        <v>18</v>
      </c>
      <c r="F8" t="s">
        <v>24</v>
      </c>
      <c r="G8" t="s">
        <v>29</v>
      </c>
      <c r="H8" s="5">
        <v>6</v>
      </c>
      <c r="I8" s="3">
        <v>10421</v>
      </c>
      <c r="J8" s="10">
        <v>0</v>
      </c>
      <c r="K8" s="2">
        <v>62526</v>
      </c>
      <c r="L8" s="2">
        <f>Raw_Sales_Data3[[#This Row],[Quantity]]*Raw_Sales_Data3[[#This Row],[Unit Price]]*(Raw_Sales_Data3[[#This Row],[Discount %]]/100)</f>
        <v>0</v>
      </c>
      <c r="M8" t="str">
        <f>IF(COUNTIF(Raw_Sales_Data3[Order ID],Raw_Sales_Data3[[#This Row],[Order ID]])&gt;1,"Duplicate Order ID","Unique Order ID")</f>
        <v>Unique Order ID</v>
      </c>
    </row>
    <row r="9" spans="1:18" x14ac:dyDescent="0.3">
      <c r="A9" t="s">
        <v>37</v>
      </c>
      <c r="B9" s="1">
        <v>46028</v>
      </c>
      <c r="C9" t="s">
        <v>38</v>
      </c>
      <c r="D9" t="s">
        <v>70</v>
      </c>
      <c r="E9" t="s">
        <v>39</v>
      </c>
      <c r="F9" t="s">
        <v>24</v>
      </c>
      <c r="G9" t="s">
        <v>40</v>
      </c>
      <c r="H9" s="5">
        <v>11</v>
      </c>
      <c r="I9" s="3">
        <v>35012</v>
      </c>
      <c r="J9" s="10">
        <v>5</v>
      </c>
      <c r="K9" s="2">
        <v>365875.4</v>
      </c>
      <c r="L9" s="2">
        <f>Raw_Sales_Data3[[#This Row],[Quantity]]*Raw_Sales_Data3[[#This Row],[Unit Price]]*(Raw_Sales_Data3[[#This Row],[Discount %]]/100)</f>
        <v>19256.600000000002</v>
      </c>
      <c r="M9" t="str">
        <f>IF(COUNTIF(Raw_Sales_Data3[Order ID],Raw_Sales_Data3[[#This Row],[Order ID]])&gt;1,"Duplicate Order ID","Unique Order ID")</f>
        <v>Unique Order ID</v>
      </c>
    </row>
    <row r="10" spans="1:18" x14ac:dyDescent="0.3">
      <c r="A10" t="s">
        <v>41</v>
      </c>
      <c r="B10" s="1">
        <v>46039</v>
      </c>
      <c r="C10" t="s">
        <v>42</v>
      </c>
      <c r="D10" t="s">
        <v>43</v>
      </c>
      <c r="E10" t="s">
        <v>34</v>
      </c>
      <c r="F10" t="s">
        <v>19</v>
      </c>
      <c r="G10" t="s">
        <v>117</v>
      </c>
      <c r="H10" s="5">
        <v>3</v>
      </c>
      <c r="I10" s="3">
        <v>32854</v>
      </c>
      <c r="J10" s="10">
        <v>0</v>
      </c>
      <c r="K10" s="2">
        <v>98562</v>
      </c>
      <c r="L10" s="2">
        <f>Raw_Sales_Data3[[#This Row],[Quantity]]*Raw_Sales_Data3[[#This Row],[Unit Price]]*(Raw_Sales_Data3[[#This Row],[Discount %]]/100)</f>
        <v>0</v>
      </c>
      <c r="M10" t="str">
        <f>IF(COUNTIF(Raw_Sales_Data3[Order ID],Raw_Sales_Data3[[#This Row],[Order ID]])&gt;1,"Duplicate Order ID","Unique Order ID")</f>
        <v>Unique Order ID</v>
      </c>
    </row>
    <row r="11" spans="1:18" x14ac:dyDescent="0.3">
      <c r="A11" t="s">
        <v>44</v>
      </c>
      <c r="B11" s="1">
        <v>46112</v>
      </c>
      <c r="C11" t="s">
        <v>45</v>
      </c>
      <c r="D11" t="s">
        <v>23</v>
      </c>
      <c r="E11" t="s">
        <v>18</v>
      </c>
      <c r="F11" t="s">
        <v>19</v>
      </c>
      <c r="G11" t="s">
        <v>46</v>
      </c>
      <c r="H11" s="5">
        <v>8</v>
      </c>
      <c r="I11" s="3">
        <v>27803</v>
      </c>
      <c r="J11" s="10">
        <v>0</v>
      </c>
      <c r="K11" s="2">
        <v>222424</v>
      </c>
      <c r="L11" s="2">
        <f>Raw_Sales_Data3[[#This Row],[Quantity]]*Raw_Sales_Data3[[#This Row],[Unit Price]]*(Raw_Sales_Data3[[#This Row],[Discount %]]/100)</f>
        <v>0</v>
      </c>
      <c r="M11" t="str">
        <f>IF(COUNTIF(Raw_Sales_Data3[Order ID],Raw_Sales_Data3[[#This Row],[Order ID]])&gt;1,"Duplicate Order ID","Unique Order ID")</f>
        <v>Unique Order ID</v>
      </c>
      <c r="R11" s="5"/>
    </row>
    <row r="12" spans="1:18" x14ac:dyDescent="0.3">
      <c r="A12" t="s">
        <v>47</v>
      </c>
      <c r="B12" s="1">
        <v>46089</v>
      </c>
      <c r="C12" t="s">
        <v>48</v>
      </c>
      <c r="D12" t="s">
        <v>23</v>
      </c>
      <c r="E12" t="s">
        <v>18</v>
      </c>
      <c r="F12" t="s">
        <v>24</v>
      </c>
      <c r="G12" t="s">
        <v>29</v>
      </c>
      <c r="H12" s="5">
        <v>14</v>
      </c>
      <c r="I12" s="3">
        <v>15767</v>
      </c>
      <c r="J12" s="10">
        <v>20</v>
      </c>
      <c r="K12" s="2">
        <v>176590.4</v>
      </c>
      <c r="L12" s="2">
        <f>Raw_Sales_Data3[[#This Row],[Quantity]]*Raw_Sales_Data3[[#This Row],[Unit Price]]*(Raw_Sales_Data3[[#This Row],[Discount %]]/100)</f>
        <v>44147.600000000006</v>
      </c>
      <c r="M12" t="str">
        <f>IF(COUNTIF(Raw_Sales_Data3[Order ID],Raw_Sales_Data3[[#This Row],[Order ID]])&gt;1,"Duplicate Order ID","Unique Order ID")</f>
        <v>Unique Order ID</v>
      </c>
    </row>
    <row r="13" spans="1:18" x14ac:dyDescent="0.3">
      <c r="A13" t="s">
        <v>49</v>
      </c>
      <c r="B13" s="1">
        <v>46041</v>
      </c>
      <c r="C13" t="s">
        <v>50</v>
      </c>
      <c r="D13" t="s">
        <v>23</v>
      </c>
      <c r="E13" t="s">
        <v>34</v>
      </c>
      <c r="F13" t="s">
        <v>14</v>
      </c>
      <c r="G13" t="s">
        <v>51</v>
      </c>
      <c r="H13" s="5">
        <v>10</v>
      </c>
      <c r="I13" s="3">
        <v>20085</v>
      </c>
      <c r="J13" s="10">
        <v>0</v>
      </c>
      <c r="K13" s="2">
        <v>200850</v>
      </c>
      <c r="L13" s="2">
        <f>Raw_Sales_Data3[[#This Row],[Quantity]]*Raw_Sales_Data3[[#This Row],[Unit Price]]*(Raw_Sales_Data3[[#This Row],[Discount %]]/100)</f>
        <v>0</v>
      </c>
      <c r="M13" t="str">
        <f>IF(COUNTIF(Raw_Sales_Data3[Order ID],Raw_Sales_Data3[[#This Row],[Order ID]])&gt;1,"Duplicate Order ID","Unique Order ID")</f>
        <v>Unique Order ID</v>
      </c>
    </row>
    <row r="14" spans="1:18" x14ac:dyDescent="0.3">
      <c r="A14" t="s">
        <v>52</v>
      </c>
      <c r="B14" s="1">
        <v>46098</v>
      </c>
      <c r="C14" t="s">
        <v>27</v>
      </c>
      <c r="D14" t="s">
        <v>43</v>
      </c>
      <c r="E14" t="s">
        <v>18</v>
      </c>
      <c r="F14" t="s">
        <v>24</v>
      </c>
      <c r="G14" t="s">
        <v>53</v>
      </c>
      <c r="H14" s="5">
        <v>12</v>
      </c>
      <c r="I14" s="3">
        <v>40340</v>
      </c>
      <c r="J14" s="10">
        <v>20</v>
      </c>
      <c r="K14" s="2">
        <v>387264</v>
      </c>
      <c r="L14" s="2">
        <f>Raw_Sales_Data3[[#This Row],[Quantity]]*Raw_Sales_Data3[[#This Row],[Unit Price]]*(Raw_Sales_Data3[[#This Row],[Discount %]]/100)</f>
        <v>96816</v>
      </c>
      <c r="M14" t="str">
        <f>IF(COUNTIF(Raw_Sales_Data3[Order ID],Raw_Sales_Data3[[#This Row],[Order ID]])&gt;1,"Duplicate Order ID","Unique Order ID")</f>
        <v>Duplicate Order ID</v>
      </c>
    </row>
    <row r="15" spans="1:18" x14ac:dyDescent="0.3">
      <c r="A15" t="s">
        <v>52</v>
      </c>
      <c r="B15" s="1">
        <v>46025</v>
      </c>
      <c r="C15" t="s">
        <v>54</v>
      </c>
      <c r="D15" t="s">
        <v>23</v>
      </c>
      <c r="E15" t="s">
        <v>39</v>
      </c>
      <c r="F15" t="s">
        <v>24</v>
      </c>
      <c r="G15" t="s">
        <v>55</v>
      </c>
      <c r="H15" s="5">
        <v>15</v>
      </c>
      <c r="I15" s="3">
        <v>29846</v>
      </c>
      <c r="J15" s="10">
        <v>15</v>
      </c>
      <c r="K15" s="2">
        <v>380536.5</v>
      </c>
      <c r="L15" s="2">
        <f>Raw_Sales_Data3[[#This Row],[Quantity]]*Raw_Sales_Data3[[#This Row],[Unit Price]]*(Raw_Sales_Data3[[#This Row],[Discount %]]/100)</f>
        <v>67153.5</v>
      </c>
      <c r="M15" t="str">
        <f>IF(COUNTIF(Raw_Sales_Data3[Order ID],Raw_Sales_Data3[[#This Row],[Order ID]])&gt;1,"Duplicate Order ID","Unique Order ID")</f>
        <v>Duplicate Order ID</v>
      </c>
    </row>
    <row r="16" spans="1:18" x14ac:dyDescent="0.3">
      <c r="A16" t="s">
        <v>56</v>
      </c>
      <c r="B16" s="1">
        <v>46030</v>
      </c>
      <c r="C16" t="s">
        <v>57</v>
      </c>
      <c r="D16" t="s">
        <v>58</v>
      </c>
      <c r="E16" t="s">
        <v>28</v>
      </c>
      <c r="F16" t="s">
        <v>19</v>
      </c>
      <c r="G16" t="s">
        <v>59</v>
      </c>
      <c r="H16" s="5">
        <v>2</v>
      </c>
      <c r="I16" s="3">
        <v>22923</v>
      </c>
      <c r="J16" s="10">
        <v>20</v>
      </c>
      <c r="K16" s="2">
        <v>36676.800000000003</v>
      </c>
      <c r="L16" s="2">
        <f>Raw_Sales_Data3[[#This Row],[Quantity]]*Raw_Sales_Data3[[#This Row],[Unit Price]]*(Raw_Sales_Data3[[#This Row],[Discount %]]/100)</f>
        <v>9169.2000000000007</v>
      </c>
      <c r="M16" t="str">
        <f>IF(COUNTIF(Raw_Sales_Data3[Order ID],Raw_Sales_Data3[[#This Row],[Order ID]])&gt;1,"Duplicate Order ID","Unique Order ID")</f>
        <v>Unique Order ID</v>
      </c>
    </row>
    <row r="17" spans="1:18" x14ac:dyDescent="0.3">
      <c r="A17" t="s">
        <v>60</v>
      </c>
      <c r="B17" s="1">
        <v>46030</v>
      </c>
      <c r="C17" t="s">
        <v>57</v>
      </c>
      <c r="D17" t="s">
        <v>23</v>
      </c>
      <c r="E17" t="s">
        <v>28</v>
      </c>
      <c r="F17" t="s">
        <v>24</v>
      </c>
      <c r="G17" t="s">
        <v>55</v>
      </c>
      <c r="H17" s="5">
        <v>12</v>
      </c>
      <c r="I17" s="3">
        <v>2909</v>
      </c>
      <c r="J17" s="10">
        <v>5</v>
      </c>
      <c r="K17" s="2">
        <v>33162.6</v>
      </c>
      <c r="L17" s="2">
        <f>Raw_Sales_Data3[[#This Row],[Quantity]]*Raw_Sales_Data3[[#This Row],[Unit Price]]*(Raw_Sales_Data3[[#This Row],[Discount %]]/100)</f>
        <v>1745.4</v>
      </c>
      <c r="M17" t="str">
        <f>IF(COUNTIF(Raw_Sales_Data3[Order ID],Raw_Sales_Data3[[#This Row],[Order ID]])&gt;1,"Duplicate Order ID","Unique Order ID")</f>
        <v>Unique Order ID</v>
      </c>
    </row>
    <row r="18" spans="1:18" x14ac:dyDescent="0.3">
      <c r="A18" t="s">
        <v>61</v>
      </c>
      <c r="B18" s="1">
        <v>46104</v>
      </c>
      <c r="C18" t="s">
        <v>62</v>
      </c>
      <c r="D18" t="s">
        <v>70</v>
      </c>
      <c r="E18" t="s">
        <v>34</v>
      </c>
      <c r="F18" t="s">
        <v>19</v>
      </c>
      <c r="G18" t="s">
        <v>40</v>
      </c>
      <c r="H18" s="5">
        <v>1</v>
      </c>
      <c r="I18" s="3">
        <v>59429</v>
      </c>
      <c r="J18" s="10">
        <v>10</v>
      </c>
      <c r="K18" s="2">
        <v>53486.1</v>
      </c>
      <c r="L18" s="2">
        <f>Raw_Sales_Data3[[#This Row],[Quantity]]*Raw_Sales_Data3[[#This Row],[Unit Price]]*(Raw_Sales_Data3[[#This Row],[Discount %]]/100)</f>
        <v>5942.9000000000005</v>
      </c>
      <c r="M18" t="str">
        <f>IF(COUNTIF(Raw_Sales_Data3[Order ID],Raw_Sales_Data3[[#This Row],[Order ID]])&gt;1,"Duplicate Order ID","Unique Order ID")</f>
        <v>Unique Order ID</v>
      </c>
    </row>
    <row r="19" spans="1:18" x14ac:dyDescent="0.3">
      <c r="A19" t="s">
        <v>63</v>
      </c>
      <c r="B19" s="1">
        <v>46061</v>
      </c>
      <c r="C19" t="s">
        <v>64</v>
      </c>
      <c r="D19" t="s">
        <v>58</v>
      </c>
      <c r="E19" t="s">
        <v>34</v>
      </c>
      <c r="F19" t="s">
        <v>24</v>
      </c>
      <c r="G19" t="s">
        <v>29</v>
      </c>
      <c r="H19" s="5">
        <v>4</v>
      </c>
      <c r="I19" s="3">
        <v>24782</v>
      </c>
      <c r="J19" s="10">
        <v>5</v>
      </c>
      <c r="K19" s="2">
        <v>94171.6</v>
      </c>
      <c r="L19" s="2">
        <f>Raw_Sales_Data3[[#This Row],[Quantity]]*Raw_Sales_Data3[[#This Row],[Unit Price]]*(Raw_Sales_Data3[[#This Row],[Discount %]]/100)</f>
        <v>4956.4000000000005</v>
      </c>
      <c r="M19" t="str">
        <f>IF(COUNTIF(Raw_Sales_Data3[Order ID],Raw_Sales_Data3[[#This Row],[Order ID]])&gt;1,"Duplicate Order ID","Unique Order ID")</f>
        <v>Unique Order ID</v>
      </c>
    </row>
    <row r="20" spans="1:18" x14ac:dyDescent="0.3">
      <c r="A20" t="s">
        <v>65</v>
      </c>
      <c r="B20" s="1">
        <v>46049</v>
      </c>
      <c r="C20" t="s">
        <v>12</v>
      </c>
      <c r="D20" t="s">
        <v>23</v>
      </c>
      <c r="E20" t="s">
        <v>13</v>
      </c>
      <c r="F20" t="s">
        <v>14</v>
      </c>
      <c r="G20" t="s">
        <v>66</v>
      </c>
      <c r="H20" s="5">
        <v>6</v>
      </c>
      <c r="I20" s="3">
        <v>4943</v>
      </c>
      <c r="J20" s="10">
        <v>0</v>
      </c>
      <c r="K20" s="2">
        <v>29658</v>
      </c>
      <c r="L20" s="2">
        <f>Raw_Sales_Data3[[#This Row],[Quantity]]*Raw_Sales_Data3[[#This Row],[Unit Price]]*(Raw_Sales_Data3[[#This Row],[Discount %]]/100)</f>
        <v>0</v>
      </c>
      <c r="M20" t="str">
        <f>IF(COUNTIF(Raw_Sales_Data3[Order ID],Raw_Sales_Data3[[#This Row],[Order ID]])&gt;1,"Duplicate Order ID","Unique Order ID")</f>
        <v>Unique Order ID</v>
      </c>
    </row>
    <row r="21" spans="1:18" x14ac:dyDescent="0.3">
      <c r="A21" t="s">
        <v>67</v>
      </c>
      <c r="B21" s="1">
        <v>46054</v>
      </c>
      <c r="C21" t="s">
        <v>50</v>
      </c>
      <c r="D21" t="s">
        <v>58</v>
      </c>
      <c r="E21" t="s">
        <v>28</v>
      </c>
      <c r="F21" t="s">
        <v>19</v>
      </c>
      <c r="G21" t="s">
        <v>20</v>
      </c>
      <c r="H21" s="5">
        <v>3</v>
      </c>
      <c r="I21" s="3">
        <f>K21/H21</f>
        <v>26972.399999999998</v>
      </c>
      <c r="J21" s="10">
        <v>5</v>
      </c>
      <c r="K21" s="2">
        <v>80917.2</v>
      </c>
      <c r="L21" s="2">
        <f>Raw_Sales_Data3[[#This Row],[Quantity]]*Raw_Sales_Data3[[#This Row],[Unit Price]]*(Raw_Sales_Data3[[#This Row],[Discount %]]/100)</f>
        <v>4045.86</v>
      </c>
      <c r="M21" t="str">
        <f>IF(COUNTIF(Raw_Sales_Data3[Order ID],Raw_Sales_Data3[[#This Row],[Order ID]])&gt;1,"Duplicate Order ID","Unique Order ID")</f>
        <v>Unique Order ID</v>
      </c>
    </row>
    <row r="22" spans="1:18" x14ac:dyDescent="0.3">
      <c r="A22" t="s">
        <v>68</v>
      </c>
      <c r="B22" s="1">
        <v>46105</v>
      </c>
      <c r="C22" t="s">
        <v>69</v>
      </c>
      <c r="D22" t="s">
        <v>70</v>
      </c>
      <c r="E22" t="s">
        <v>28</v>
      </c>
      <c r="F22" t="s">
        <v>24</v>
      </c>
      <c r="G22" t="s">
        <v>71</v>
      </c>
      <c r="H22" s="5">
        <v>8</v>
      </c>
      <c r="I22" s="3">
        <v>36089</v>
      </c>
      <c r="J22" s="10">
        <v>10</v>
      </c>
      <c r="K22" s="2">
        <v>259840.8</v>
      </c>
      <c r="L22" s="2">
        <f>Raw_Sales_Data3[[#This Row],[Quantity]]*Raw_Sales_Data3[[#This Row],[Unit Price]]*(Raw_Sales_Data3[[#This Row],[Discount %]]/100)</f>
        <v>28871.200000000001</v>
      </c>
      <c r="M22" t="str">
        <f>IF(COUNTIF(Raw_Sales_Data3[Order ID],Raw_Sales_Data3[[#This Row],[Order ID]])&gt;1,"Duplicate Order ID","Unique Order ID")</f>
        <v>Unique Order ID</v>
      </c>
    </row>
    <row r="23" spans="1:18" x14ac:dyDescent="0.3">
      <c r="A23" t="s">
        <v>72</v>
      </c>
      <c r="B23" s="1">
        <v>46038</v>
      </c>
      <c r="C23" t="s">
        <v>22</v>
      </c>
      <c r="D23" t="s">
        <v>70</v>
      </c>
      <c r="E23" t="s">
        <v>28</v>
      </c>
      <c r="F23" t="s">
        <v>14</v>
      </c>
      <c r="G23" t="s">
        <v>73</v>
      </c>
      <c r="H23" s="5">
        <v>1</v>
      </c>
      <c r="I23" s="3">
        <v>39900</v>
      </c>
      <c r="J23" s="10">
        <v>0</v>
      </c>
      <c r="K23" s="2">
        <v>39900</v>
      </c>
      <c r="L23" s="2">
        <f>Raw_Sales_Data3[[#This Row],[Quantity]]*Raw_Sales_Data3[[#This Row],[Unit Price]]*(Raw_Sales_Data3[[#This Row],[Discount %]]/100)</f>
        <v>0</v>
      </c>
      <c r="M23" t="str">
        <f>IF(COUNTIF(Raw_Sales_Data3[Order ID],Raw_Sales_Data3[[#This Row],[Order ID]])&gt;1,"Duplicate Order ID","Unique Order ID")</f>
        <v>Unique Order ID</v>
      </c>
    </row>
    <row r="24" spans="1:18" x14ac:dyDescent="0.3">
      <c r="A24" t="s">
        <v>74</v>
      </c>
      <c r="B24" s="1">
        <v>46066</v>
      </c>
      <c r="C24" t="s">
        <v>33</v>
      </c>
      <c r="D24" t="s">
        <v>23</v>
      </c>
      <c r="E24" t="s">
        <v>18</v>
      </c>
      <c r="F24" t="s">
        <v>19</v>
      </c>
      <c r="G24" t="s">
        <v>59</v>
      </c>
      <c r="H24" s="5">
        <v>8</v>
      </c>
      <c r="I24" s="3">
        <v>54319</v>
      </c>
      <c r="J24" s="10">
        <v>0</v>
      </c>
      <c r="K24" s="2">
        <v>434552</v>
      </c>
      <c r="L24" s="2">
        <f>Raw_Sales_Data3[[#This Row],[Quantity]]*Raw_Sales_Data3[[#This Row],[Unit Price]]*(Raw_Sales_Data3[[#This Row],[Discount %]]/100)</f>
        <v>0</v>
      </c>
      <c r="M24" t="str">
        <f>IF(COUNTIF(Raw_Sales_Data3[Order ID],Raw_Sales_Data3[[#This Row],[Order ID]])&gt;1,"Duplicate Order ID","Unique Order ID")</f>
        <v>Unique Order ID</v>
      </c>
    </row>
    <row r="25" spans="1:18" x14ac:dyDescent="0.3">
      <c r="A25" t="s">
        <v>75</v>
      </c>
      <c r="B25" s="1">
        <v>46031</v>
      </c>
      <c r="C25" t="s">
        <v>42</v>
      </c>
      <c r="D25" t="s">
        <v>23</v>
      </c>
      <c r="E25" t="s">
        <v>13</v>
      </c>
      <c r="F25" t="s">
        <v>19</v>
      </c>
      <c r="G25" t="s">
        <v>46</v>
      </c>
      <c r="H25" s="5">
        <v>14</v>
      </c>
      <c r="I25" s="3">
        <v>54969</v>
      </c>
      <c r="J25" s="10">
        <v>0</v>
      </c>
      <c r="K25" s="2">
        <v>769566</v>
      </c>
      <c r="L25" s="2">
        <f>Raw_Sales_Data3[[#This Row],[Quantity]]*Raw_Sales_Data3[[#This Row],[Unit Price]]*(Raw_Sales_Data3[[#This Row],[Discount %]]/100)</f>
        <v>0</v>
      </c>
      <c r="M25" t="str">
        <f>IF(COUNTIF(Raw_Sales_Data3[Order ID],Raw_Sales_Data3[[#This Row],[Order ID]])&gt;1,"Duplicate Order ID","Unique Order ID")</f>
        <v>Unique Order ID</v>
      </c>
    </row>
    <row r="26" spans="1:18" x14ac:dyDescent="0.3">
      <c r="A26" t="s">
        <v>76</v>
      </c>
      <c r="B26" s="1">
        <v>46027</v>
      </c>
      <c r="C26" t="s">
        <v>54</v>
      </c>
      <c r="D26" t="s">
        <v>43</v>
      </c>
      <c r="E26" t="s">
        <v>13</v>
      </c>
      <c r="F26" t="s">
        <v>24</v>
      </c>
      <c r="G26" t="s">
        <v>77</v>
      </c>
      <c r="H26" s="5">
        <v>2</v>
      </c>
      <c r="I26" s="3">
        <v>10426</v>
      </c>
      <c r="J26" s="10">
        <v>15</v>
      </c>
      <c r="K26" s="2">
        <v>17724.2</v>
      </c>
      <c r="L26" s="2">
        <f>Raw_Sales_Data3[[#This Row],[Quantity]]*Raw_Sales_Data3[[#This Row],[Unit Price]]*(Raw_Sales_Data3[[#This Row],[Discount %]]/100)</f>
        <v>3127.7999999999997</v>
      </c>
      <c r="M26" t="str">
        <f>IF(COUNTIF(Raw_Sales_Data3[Order ID],Raw_Sales_Data3[[#This Row],[Order ID]])&gt;1,"Duplicate Order ID","Unique Order ID")</f>
        <v>Unique Order ID</v>
      </c>
    </row>
    <row r="27" spans="1:18" x14ac:dyDescent="0.3">
      <c r="A27" t="s">
        <v>78</v>
      </c>
      <c r="B27" s="1">
        <v>46101</v>
      </c>
      <c r="C27" t="s">
        <v>27</v>
      </c>
      <c r="D27" t="s">
        <v>23</v>
      </c>
      <c r="E27" t="s">
        <v>34</v>
      </c>
      <c r="F27" t="s">
        <v>19</v>
      </c>
      <c r="G27" t="s">
        <v>79</v>
      </c>
      <c r="H27" s="5">
        <v>14</v>
      </c>
      <c r="I27" s="3">
        <v>25305</v>
      </c>
      <c r="J27" s="10">
        <v>0</v>
      </c>
      <c r="K27" s="2">
        <v>354270</v>
      </c>
      <c r="L27" s="2">
        <f>Raw_Sales_Data3[[#This Row],[Quantity]]*Raw_Sales_Data3[[#This Row],[Unit Price]]*(Raw_Sales_Data3[[#This Row],[Discount %]]/100)</f>
        <v>0</v>
      </c>
      <c r="M27" t="str">
        <f>IF(COUNTIF(Raw_Sales_Data3[Order ID],Raw_Sales_Data3[[#This Row],[Order ID]])&gt;1,"Duplicate Order ID","Unique Order ID")</f>
        <v>Unique Order ID</v>
      </c>
    </row>
    <row r="28" spans="1:18" x14ac:dyDescent="0.3">
      <c r="A28" t="s">
        <v>80</v>
      </c>
      <c r="B28" s="1">
        <v>46067</v>
      </c>
      <c r="C28" t="s">
        <v>38</v>
      </c>
      <c r="D28" t="s">
        <v>58</v>
      </c>
      <c r="E28" t="s">
        <v>18</v>
      </c>
      <c r="F28" t="s">
        <v>19</v>
      </c>
      <c r="G28" t="s">
        <v>20</v>
      </c>
      <c r="H28" s="5">
        <v>7</v>
      </c>
      <c r="I28" s="3">
        <v>48736</v>
      </c>
      <c r="J28" s="10">
        <v>20</v>
      </c>
      <c r="K28" s="2">
        <v>272921.59999999998</v>
      </c>
      <c r="L28" s="2">
        <f>Raw_Sales_Data3[[#This Row],[Quantity]]*Raw_Sales_Data3[[#This Row],[Unit Price]]*(Raw_Sales_Data3[[#This Row],[Discount %]]/100)</f>
        <v>68230.400000000009</v>
      </c>
      <c r="M28" t="str">
        <f>IF(COUNTIF(Raw_Sales_Data3[Order ID],Raw_Sales_Data3[[#This Row],[Order ID]])&gt;1,"Duplicate Order ID","Unique Order ID")</f>
        <v>Unique Order ID</v>
      </c>
    </row>
    <row r="29" spans="1:18" x14ac:dyDescent="0.3">
      <c r="A29" t="s">
        <v>81</v>
      </c>
      <c r="B29" s="1">
        <v>46028</v>
      </c>
      <c r="C29" t="s">
        <v>22</v>
      </c>
      <c r="D29" t="s">
        <v>23</v>
      </c>
      <c r="E29" t="s">
        <v>13</v>
      </c>
      <c r="F29" t="s">
        <v>14</v>
      </c>
      <c r="G29" t="s">
        <v>51</v>
      </c>
      <c r="H29" s="5">
        <v>6</v>
      </c>
      <c r="I29" s="3">
        <v>35541</v>
      </c>
      <c r="J29" s="10">
        <v>0</v>
      </c>
      <c r="K29" s="2">
        <v>213246</v>
      </c>
      <c r="L29" s="2">
        <f>Raw_Sales_Data3[[#This Row],[Quantity]]*Raw_Sales_Data3[[#This Row],[Unit Price]]*(Raw_Sales_Data3[[#This Row],[Discount %]]/100)</f>
        <v>0</v>
      </c>
      <c r="M29" t="str">
        <f>IF(COUNTIF(Raw_Sales_Data3[Order ID],Raw_Sales_Data3[[#This Row],[Order ID]])&gt;1,"Duplicate Order ID","Unique Order ID")</f>
        <v>Duplicate Order ID</v>
      </c>
    </row>
    <row r="30" spans="1:18" x14ac:dyDescent="0.3">
      <c r="A30" t="s">
        <v>81</v>
      </c>
      <c r="B30" s="1">
        <v>46098</v>
      </c>
      <c r="C30" t="s">
        <v>22</v>
      </c>
      <c r="D30" t="s">
        <v>23</v>
      </c>
      <c r="E30" t="s">
        <v>28</v>
      </c>
      <c r="F30" t="s">
        <v>19</v>
      </c>
      <c r="G30" t="s">
        <v>79</v>
      </c>
      <c r="H30" s="5">
        <v>12</v>
      </c>
      <c r="I30" s="3">
        <v>9109</v>
      </c>
      <c r="J30" s="10">
        <v>0</v>
      </c>
      <c r="K30" s="2">
        <v>109308</v>
      </c>
      <c r="L30" s="2">
        <f>Raw_Sales_Data3[[#This Row],[Quantity]]*Raw_Sales_Data3[[#This Row],[Unit Price]]*(Raw_Sales_Data3[[#This Row],[Discount %]]/100)</f>
        <v>0</v>
      </c>
      <c r="M30" t="str">
        <f>IF(COUNTIF(Raw_Sales_Data3[Order ID],Raw_Sales_Data3[[#This Row],[Order ID]])&gt;1,"Duplicate Order ID","Unique Order ID")</f>
        <v>Duplicate Order ID</v>
      </c>
    </row>
    <row r="31" spans="1:18" x14ac:dyDescent="0.3">
      <c r="A31" t="s">
        <v>82</v>
      </c>
      <c r="B31" s="1">
        <v>46042</v>
      </c>
      <c r="C31" t="s">
        <v>62</v>
      </c>
      <c r="D31" t="s">
        <v>58</v>
      </c>
      <c r="E31" t="s">
        <v>13</v>
      </c>
      <c r="F31" t="s">
        <v>24</v>
      </c>
      <c r="G31" t="s">
        <v>77</v>
      </c>
      <c r="H31" s="5">
        <v>13</v>
      </c>
      <c r="I31" s="3">
        <v>55952</v>
      </c>
      <c r="J31" s="10">
        <v>10</v>
      </c>
      <c r="K31" s="2">
        <v>654638.4</v>
      </c>
      <c r="L31" s="2">
        <f>Raw_Sales_Data3[[#This Row],[Quantity]]*Raw_Sales_Data3[[#This Row],[Unit Price]]*(Raw_Sales_Data3[[#This Row],[Discount %]]/100)</f>
        <v>72737.600000000006</v>
      </c>
      <c r="M31" t="str">
        <f>IF(COUNTIF(Raw_Sales_Data3[Order ID],Raw_Sales_Data3[[#This Row],[Order ID]])&gt;1,"Duplicate Order ID","Unique Order ID")</f>
        <v>Unique Order ID</v>
      </c>
    </row>
    <row r="32" spans="1:18" x14ac:dyDescent="0.3">
      <c r="A32" t="s">
        <v>83</v>
      </c>
      <c r="B32" s="1">
        <v>46107</v>
      </c>
      <c r="C32" t="s">
        <v>12</v>
      </c>
      <c r="D32" t="s">
        <v>70</v>
      </c>
      <c r="E32" t="s">
        <v>34</v>
      </c>
      <c r="F32" t="s">
        <v>14</v>
      </c>
      <c r="G32" t="s">
        <v>15</v>
      </c>
      <c r="H32" s="5">
        <v>13</v>
      </c>
      <c r="I32" s="3">
        <v>47117</v>
      </c>
      <c r="J32" s="10">
        <v>5</v>
      </c>
      <c r="K32" s="2">
        <v>581894.94999999995</v>
      </c>
      <c r="L32" s="2">
        <f>Raw_Sales_Data3[[#This Row],[Quantity]]*Raw_Sales_Data3[[#This Row],[Unit Price]]*(Raw_Sales_Data3[[#This Row],[Discount %]]/100)</f>
        <v>30626.050000000003</v>
      </c>
      <c r="M32" t="str">
        <f>IF(COUNTIF(Raw_Sales_Data3[Order ID],Raw_Sales_Data3[[#This Row],[Order ID]])&gt;1,"Duplicate Order ID","Unique Order ID")</f>
        <v>Unique Order ID</v>
      </c>
      <c r="R32" t="s">
        <v>1039</v>
      </c>
    </row>
    <row r="33" spans="1:13" x14ac:dyDescent="0.3">
      <c r="A33" t="s">
        <v>84</v>
      </c>
      <c r="B33" s="1">
        <v>46028</v>
      </c>
      <c r="C33" t="s">
        <v>36</v>
      </c>
      <c r="D33" t="s">
        <v>23</v>
      </c>
      <c r="E33" t="s">
        <v>39</v>
      </c>
      <c r="F33" t="s">
        <v>14</v>
      </c>
      <c r="G33" t="s">
        <v>66</v>
      </c>
      <c r="H33" s="5">
        <v>3</v>
      </c>
      <c r="I33" s="3">
        <v>1242</v>
      </c>
      <c r="J33" s="10">
        <v>0</v>
      </c>
      <c r="K33" s="2">
        <v>3726</v>
      </c>
      <c r="L33" s="2">
        <f>Raw_Sales_Data3[[#This Row],[Quantity]]*Raw_Sales_Data3[[#This Row],[Unit Price]]*(Raw_Sales_Data3[[#This Row],[Discount %]]/100)</f>
        <v>0</v>
      </c>
      <c r="M33" t="str">
        <f>IF(COUNTIF(Raw_Sales_Data3[Order ID],Raw_Sales_Data3[[#This Row],[Order ID]])&gt;1,"Duplicate Order ID","Unique Order ID")</f>
        <v>Unique Order ID</v>
      </c>
    </row>
    <row r="34" spans="1:13" x14ac:dyDescent="0.3">
      <c r="A34" t="s">
        <v>85</v>
      </c>
      <c r="B34" s="1">
        <v>46108</v>
      </c>
      <c r="C34" t="s">
        <v>86</v>
      </c>
      <c r="D34" t="s">
        <v>23</v>
      </c>
      <c r="E34" t="s">
        <v>39</v>
      </c>
      <c r="F34" t="s">
        <v>24</v>
      </c>
      <c r="G34" t="s">
        <v>53</v>
      </c>
      <c r="H34" s="5">
        <v>10</v>
      </c>
      <c r="I34" s="3">
        <v>59608</v>
      </c>
      <c r="J34" s="10">
        <v>0</v>
      </c>
      <c r="K34" s="2">
        <v>596080</v>
      </c>
      <c r="L34" s="2">
        <f>Raw_Sales_Data3[[#This Row],[Quantity]]*Raw_Sales_Data3[[#This Row],[Unit Price]]*(Raw_Sales_Data3[[#This Row],[Discount %]]/100)</f>
        <v>0</v>
      </c>
      <c r="M34" t="str">
        <f>IF(COUNTIF(Raw_Sales_Data3[Order ID],Raw_Sales_Data3[[#This Row],[Order ID]])&gt;1,"Duplicate Order ID","Unique Order ID")</f>
        <v>Unique Order ID</v>
      </c>
    </row>
    <row r="35" spans="1:13" x14ac:dyDescent="0.3">
      <c r="A35" t="s">
        <v>87</v>
      </c>
      <c r="B35" s="1">
        <v>46057</v>
      </c>
      <c r="C35" t="s">
        <v>27</v>
      </c>
      <c r="D35" t="s">
        <v>70</v>
      </c>
      <c r="E35" t="s">
        <v>34</v>
      </c>
      <c r="F35" t="s">
        <v>24</v>
      </c>
      <c r="G35" t="s">
        <v>71</v>
      </c>
      <c r="H35" s="5">
        <v>12</v>
      </c>
      <c r="I35" s="3">
        <v>2607</v>
      </c>
      <c r="J35" s="10">
        <v>15</v>
      </c>
      <c r="K35" s="2">
        <v>26591.4</v>
      </c>
      <c r="L35" s="2">
        <f>Raw_Sales_Data3[[#This Row],[Quantity]]*Raw_Sales_Data3[[#This Row],[Unit Price]]*(Raw_Sales_Data3[[#This Row],[Discount %]]/100)</f>
        <v>4692.5999999999995</v>
      </c>
      <c r="M35" t="str">
        <f>IF(COUNTIF(Raw_Sales_Data3[Order ID],Raw_Sales_Data3[[#This Row],[Order ID]])&gt;1,"Duplicate Order ID","Unique Order ID")</f>
        <v>Unique Order ID</v>
      </c>
    </row>
    <row r="36" spans="1:13" x14ac:dyDescent="0.3">
      <c r="A36" t="s">
        <v>88</v>
      </c>
      <c r="B36" s="1">
        <v>46038</v>
      </c>
      <c r="C36" t="s">
        <v>89</v>
      </c>
      <c r="D36" t="s">
        <v>70</v>
      </c>
      <c r="E36" t="s">
        <v>18</v>
      </c>
      <c r="F36" t="s">
        <v>19</v>
      </c>
      <c r="G36" t="s">
        <v>59</v>
      </c>
      <c r="H36" s="5">
        <v>10</v>
      </c>
      <c r="I36" s="3">
        <v>54562</v>
      </c>
      <c r="J36" s="10">
        <v>5</v>
      </c>
      <c r="K36" s="2">
        <v>518339</v>
      </c>
      <c r="L36" s="2">
        <f>Raw_Sales_Data3[[#This Row],[Quantity]]*Raw_Sales_Data3[[#This Row],[Unit Price]]*(Raw_Sales_Data3[[#This Row],[Discount %]]/100)</f>
        <v>27281</v>
      </c>
      <c r="M36" t="str">
        <f>IF(COUNTIF(Raw_Sales_Data3[Order ID],Raw_Sales_Data3[[#This Row],[Order ID]])&gt;1,"Duplicate Order ID","Unique Order ID")</f>
        <v>Unique Order ID</v>
      </c>
    </row>
    <row r="37" spans="1:13" x14ac:dyDescent="0.3">
      <c r="A37" t="s">
        <v>90</v>
      </c>
      <c r="B37" s="1">
        <v>46067</v>
      </c>
      <c r="C37" t="s">
        <v>91</v>
      </c>
      <c r="D37" t="s">
        <v>23</v>
      </c>
      <c r="E37" t="s">
        <v>13</v>
      </c>
      <c r="F37" t="s">
        <v>19</v>
      </c>
      <c r="G37" t="s">
        <v>79</v>
      </c>
      <c r="H37" s="5">
        <v>13</v>
      </c>
      <c r="I37" s="3">
        <v>52153</v>
      </c>
      <c r="J37" s="10">
        <v>0</v>
      </c>
      <c r="K37" s="2">
        <v>677989</v>
      </c>
      <c r="L37" s="2">
        <f>Raw_Sales_Data3[[#This Row],[Quantity]]*Raw_Sales_Data3[[#This Row],[Unit Price]]*(Raw_Sales_Data3[[#This Row],[Discount %]]/100)</f>
        <v>0</v>
      </c>
      <c r="M37" t="str">
        <f>IF(COUNTIF(Raw_Sales_Data3[Order ID],Raw_Sales_Data3[[#This Row],[Order ID]])&gt;1,"Duplicate Order ID","Unique Order ID")</f>
        <v>Unique Order ID</v>
      </c>
    </row>
    <row r="38" spans="1:13" x14ac:dyDescent="0.3">
      <c r="A38" t="s">
        <v>92</v>
      </c>
      <c r="B38" s="1">
        <v>46063</v>
      </c>
      <c r="C38" t="s">
        <v>45</v>
      </c>
      <c r="D38" t="s">
        <v>58</v>
      </c>
      <c r="E38" t="s">
        <v>39</v>
      </c>
      <c r="F38" t="s">
        <v>19</v>
      </c>
      <c r="G38" t="s">
        <v>46</v>
      </c>
      <c r="H38" s="5">
        <v>15</v>
      </c>
      <c r="I38" s="3">
        <v>25324</v>
      </c>
      <c r="J38" s="10">
        <v>5</v>
      </c>
      <c r="K38" s="2">
        <v>360867</v>
      </c>
      <c r="L38" s="2">
        <f>Raw_Sales_Data3[[#This Row],[Quantity]]*Raw_Sales_Data3[[#This Row],[Unit Price]]*(Raw_Sales_Data3[[#This Row],[Discount %]]/100)</f>
        <v>18993</v>
      </c>
      <c r="M38" t="str">
        <f>IF(COUNTIF(Raw_Sales_Data3[Order ID],Raw_Sales_Data3[[#This Row],[Order ID]])&gt;1,"Duplicate Order ID","Unique Order ID")</f>
        <v>Unique Order ID</v>
      </c>
    </row>
    <row r="39" spans="1:13" x14ac:dyDescent="0.3">
      <c r="A39" t="s">
        <v>93</v>
      </c>
      <c r="B39" s="1">
        <v>46069</v>
      </c>
      <c r="C39" t="s">
        <v>86</v>
      </c>
      <c r="D39" t="s">
        <v>58</v>
      </c>
      <c r="E39" t="s">
        <v>28</v>
      </c>
      <c r="F39" t="s">
        <v>14</v>
      </c>
      <c r="G39" t="s">
        <v>66</v>
      </c>
      <c r="H39" s="5">
        <v>13</v>
      </c>
      <c r="I39" s="3">
        <v>19712</v>
      </c>
      <c r="J39" s="10">
        <v>10</v>
      </c>
      <c r="K39" s="2">
        <v>230630.39999999999</v>
      </c>
      <c r="L39" s="2">
        <f>Raw_Sales_Data3[[#This Row],[Quantity]]*Raw_Sales_Data3[[#This Row],[Unit Price]]*(Raw_Sales_Data3[[#This Row],[Discount %]]/100)</f>
        <v>25625.600000000002</v>
      </c>
      <c r="M39" t="str">
        <f>IF(COUNTIF(Raw_Sales_Data3[Order ID],Raw_Sales_Data3[[#This Row],[Order ID]])&gt;1,"Duplicate Order ID","Unique Order ID")</f>
        <v>Unique Order ID</v>
      </c>
    </row>
    <row r="40" spans="1:13" x14ac:dyDescent="0.3">
      <c r="A40" t="s">
        <v>94</v>
      </c>
      <c r="B40" s="1">
        <v>46032</v>
      </c>
      <c r="C40" t="s">
        <v>17</v>
      </c>
      <c r="D40" t="s">
        <v>43</v>
      </c>
      <c r="E40" t="s">
        <v>28</v>
      </c>
      <c r="F40" t="s">
        <v>24</v>
      </c>
      <c r="G40" t="s">
        <v>71</v>
      </c>
      <c r="H40" s="5">
        <v>2</v>
      </c>
      <c r="I40" s="3">
        <v>44490</v>
      </c>
      <c r="J40" s="10">
        <v>20</v>
      </c>
      <c r="K40" s="2">
        <v>71184</v>
      </c>
      <c r="L40" s="2">
        <f>Raw_Sales_Data3[[#This Row],[Quantity]]*Raw_Sales_Data3[[#This Row],[Unit Price]]*(Raw_Sales_Data3[[#This Row],[Discount %]]/100)</f>
        <v>17796</v>
      </c>
      <c r="M40" t="str">
        <f>IF(COUNTIF(Raw_Sales_Data3[Order ID],Raw_Sales_Data3[[#This Row],[Order ID]])&gt;1,"Duplicate Order ID","Unique Order ID")</f>
        <v>Unique Order ID</v>
      </c>
    </row>
    <row r="41" spans="1:13" x14ac:dyDescent="0.3">
      <c r="A41" t="s">
        <v>95</v>
      </c>
      <c r="B41" s="1">
        <v>46088</v>
      </c>
      <c r="C41" t="s">
        <v>38</v>
      </c>
      <c r="D41" t="s">
        <v>58</v>
      </c>
      <c r="E41" t="s">
        <v>39</v>
      </c>
      <c r="F41" t="s">
        <v>14</v>
      </c>
      <c r="G41" t="s">
        <v>156</v>
      </c>
      <c r="H41" s="5">
        <f>K41/(I41*(1-J41/100))</f>
        <v>7.9999999999999991</v>
      </c>
      <c r="I41" s="3">
        <v>31116</v>
      </c>
      <c r="J41" s="10">
        <v>20</v>
      </c>
      <c r="K41" s="2">
        <v>199142.39999999999</v>
      </c>
      <c r="L41" s="2">
        <f>Raw_Sales_Data3[[#This Row],[Quantity]]*Raw_Sales_Data3[[#This Row],[Unit Price]]*(Raw_Sales_Data3[[#This Row],[Discount %]]/100)</f>
        <v>49785.599999999999</v>
      </c>
      <c r="M41" t="str">
        <f>IF(COUNTIF(Raw_Sales_Data3[Order ID],Raw_Sales_Data3[[#This Row],[Order ID]])&gt;1,"Duplicate Order ID","Unique Order ID")</f>
        <v>Unique Order ID</v>
      </c>
    </row>
    <row r="42" spans="1:13" x14ac:dyDescent="0.3">
      <c r="A42" t="s">
        <v>96</v>
      </c>
      <c r="B42" s="1"/>
      <c r="C42" t="s">
        <v>54</v>
      </c>
      <c r="D42" t="s">
        <v>70</v>
      </c>
      <c r="E42" t="s">
        <v>34</v>
      </c>
      <c r="F42" t="s">
        <v>14</v>
      </c>
      <c r="G42" t="s">
        <v>51</v>
      </c>
      <c r="H42" s="5">
        <v>5</v>
      </c>
      <c r="I42" s="3">
        <v>4170</v>
      </c>
      <c r="J42" s="10">
        <v>5</v>
      </c>
      <c r="K42" s="2">
        <v>19807.5</v>
      </c>
      <c r="L42" s="2">
        <f>Raw_Sales_Data3[[#This Row],[Quantity]]*Raw_Sales_Data3[[#This Row],[Unit Price]]*(Raw_Sales_Data3[[#This Row],[Discount %]]/100)</f>
        <v>1042.5</v>
      </c>
      <c r="M42" t="str">
        <f>IF(COUNTIF(Raw_Sales_Data3[Order ID],Raw_Sales_Data3[[#This Row],[Order ID]])&gt;1,"Duplicate Order ID","Unique Order ID")</f>
        <v>Unique Order ID</v>
      </c>
    </row>
    <row r="43" spans="1:13" x14ac:dyDescent="0.3">
      <c r="A43" t="s">
        <v>97</v>
      </c>
      <c r="B43" s="1">
        <v>46061</v>
      </c>
      <c r="C43" t="s">
        <v>89</v>
      </c>
      <c r="D43" t="s">
        <v>23</v>
      </c>
      <c r="E43" t="s">
        <v>34</v>
      </c>
      <c r="F43" t="s">
        <v>14</v>
      </c>
      <c r="G43" t="s">
        <v>98</v>
      </c>
      <c r="H43" s="5">
        <v>13</v>
      </c>
      <c r="I43" s="3">
        <v>57192</v>
      </c>
      <c r="J43" s="10">
        <v>15</v>
      </c>
      <c r="K43" s="2">
        <v>631971.6</v>
      </c>
      <c r="L43" s="2">
        <f>Raw_Sales_Data3[[#This Row],[Quantity]]*Raw_Sales_Data3[[#This Row],[Unit Price]]*(Raw_Sales_Data3[[#This Row],[Discount %]]/100)</f>
        <v>111524.4</v>
      </c>
      <c r="M43" t="str">
        <f>IF(COUNTIF(Raw_Sales_Data3[Order ID],Raw_Sales_Data3[[#This Row],[Order ID]])&gt;1,"Duplicate Order ID","Unique Order ID")</f>
        <v>Unique Order ID</v>
      </c>
    </row>
    <row r="44" spans="1:13" x14ac:dyDescent="0.3">
      <c r="A44" t="s">
        <v>99</v>
      </c>
      <c r="B44" s="1">
        <v>46071</v>
      </c>
      <c r="C44" t="s">
        <v>12</v>
      </c>
      <c r="D44" t="s">
        <v>58</v>
      </c>
      <c r="E44" t="s">
        <v>39</v>
      </c>
      <c r="F44" t="s">
        <v>24</v>
      </c>
      <c r="G44" t="s">
        <v>25</v>
      </c>
      <c r="H44" s="5">
        <v>13</v>
      </c>
      <c r="I44" s="3">
        <v>18484</v>
      </c>
      <c r="J44" s="10">
        <v>10</v>
      </c>
      <c r="K44" s="2">
        <v>216262.8</v>
      </c>
      <c r="L44" s="2">
        <f>Raw_Sales_Data3[[#This Row],[Quantity]]*Raw_Sales_Data3[[#This Row],[Unit Price]]*(Raw_Sales_Data3[[#This Row],[Discount %]]/100)</f>
        <v>24029.200000000001</v>
      </c>
      <c r="M44" t="str">
        <f>IF(COUNTIF(Raw_Sales_Data3[Order ID],Raw_Sales_Data3[[#This Row],[Order ID]])&gt;1,"Duplicate Order ID","Unique Order ID")</f>
        <v>Unique Order ID</v>
      </c>
    </row>
    <row r="45" spans="1:13" x14ac:dyDescent="0.3">
      <c r="A45" t="s">
        <v>100</v>
      </c>
      <c r="B45" s="1">
        <v>46087</v>
      </c>
      <c r="C45" t="s">
        <v>38</v>
      </c>
      <c r="D45" t="s">
        <v>23</v>
      </c>
      <c r="E45" t="s">
        <v>39</v>
      </c>
      <c r="F45" t="s">
        <v>14</v>
      </c>
      <c r="G45" t="s">
        <v>46</v>
      </c>
      <c r="H45" s="5">
        <v>15</v>
      </c>
      <c r="I45" s="3">
        <v>26578</v>
      </c>
      <c r="J45" s="10">
        <v>10</v>
      </c>
      <c r="K45" s="2">
        <v>358803</v>
      </c>
      <c r="L45" s="2">
        <f>Raw_Sales_Data3[[#This Row],[Quantity]]*Raw_Sales_Data3[[#This Row],[Unit Price]]*(Raw_Sales_Data3[[#This Row],[Discount %]]/100)</f>
        <v>39867</v>
      </c>
      <c r="M45" t="str">
        <f>IF(COUNTIF(Raw_Sales_Data3[Order ID],Raw_Sales_Data3[[#This Row],[Order ID]])&gt;1,"Duplicate Order ID","Unique Order ID")</f>
        <v>Unique Order ID</v>
      </c>
    </row>
    <row r="46" spans="1:13" x14ac:dyDescent="0.3">
      <c r="A46" t="s">
        <v>101</v>
      </c>
      <c r="B46" s="1">
        <v>46066</v>
      </c>
      <c r="C46" t="s">
        <v>86</v>
      </c>
      <c r="D46" t="s">
        <v>58</v>
      </c>
      <c r="E46" t="s">
        <v>39</v>
      </c>
      <c r="F46" t="s">
        <v>24</v>
      </c>
      <c r="G46" t="s">
        <v>77</v>
      </c>
      <c r="H46" s="5">
        <v>4</v>
      </c>
      <c r="I46" s="3">
        <v>11215</v>
      </c>
      <c r="J46" s="10">
        <v>0</v>
      </c>
      <c r="K46" s="2">
        <v>44860</v>
      </c>
      <c r="L46" s="2">
        <f>Raw_Sales_Data3[[#This Row],[Quantity]]*Raw_Sales_Data3[[#This Row],[Unit Price]]*(Raw_Sales_Data3[[#This Row],[Discount %]]/100)</f>
        <v>0</v>
      </c>
      <c r="M46" t="str">
        <f>IF(COUNTIF(Raw_Sales_Data3[Order ID],Raw_Sales_Data3[[#This Row],[Order ID]])&gt;1,"Duplicate Order ID","Unique Order ID")</f>
        <v>Unique Order ID</v>
      </c>
    </row>
    <row r="47" spans="1:13" x14ac:dyDescent="0.3">
      <c r="A47" t="s">
        <v>102</v>
      </c>
      <c r="B47" s="1">
        <v>46111</v>
      </c>
      <c r="C47" t="s">
        <v>69</v>
      </c>
      <c r="D47" t="s">
        <v>70</v>
      </c>
      <c r="E47" t="s">
        <v>39</v>
      </c>
      <c r="F47" t="s">
        <v>14</v>
      </c>
      <c r="G47" t="s">
        <v>103</v>
      </c>
      <c r="H47" s="5">
        <v>13</v>
      </c>
      <c r="I47" s="3">
        <v>15772</v>
      </c>
      <c r="J47" s="10">
        <v>10</v>
      </c>
      <c r="K47" s="2">
        <v>184532.4</v>
      </c>
      <c r="L47" s="2">
        <f>Raw_Sales_Data3[[#This Row],[Quantity]]*Raw_Sales_Data3[[#This Row],[Unit Price]]*(Raw_Sales_Data3[[#This Row],[Discount %]]/100)</f>
        <v>20503.600000000002</v>
      </c>
      <c r="M47" t="str">
        <f>IF(COUNTIF(Raw_Sales_Data3[Order ID],Raw_Sales_Data3[[#This Row],[Order ID]])&gt;1,"Duplicate Order ID","Unique Order ID")</f>
        <v>Unique Order ID</v>
      </c>
    </row>
    <row r="48" spans="1:13" x14ac:dyDescent="0.3">
      <c r="A48" t="s">
        <v>104</v>
      </c>
      <c r="B48" s="1">
        <v>46053</v>
      </c>
      <c r="C48" t="s">
        <v>12</v>
      </c>
      <c r="D48" t="s">
        <v>43</v>
      </c>
      <c r="E48" t="s">
        <v>18</v>
      </c>
      <c r="F48" t="s">
        <v>24</v>
      </c>
      <c r="G48" t="s">
        <v>73</v>
      </c>
      <c r="H48" s="5">
        <v>2</v>
      </c>
      <c r="I48" s="3">
        <v>51895</v>
      </c>
      <c r="J48" s="10">
        <v>0</v>
      </c>
      <c r="K48" s="2">
        <v>103790</v>
      </c>
      <c r="L48" s="2">
        <f>Raw_Sales_Data3[[#This Row],[Quantity]]*Raw_Sales_Data3[[#This Row],[Unit Price]]*(Raw_Sales_Data3[[#This Row],[Discount %]]/100)</f>
        <v>0</v>
      </c>
      <c r="M48" t="str">
        <f>IF(COUNTIF(Raw_Sales_Data3[Order ID],Raw_Sales_Data3[[#This Row],[Order ID]])&gt;1,"Duplicate Order ID","Unique Order ID")</f>
        <v>Unique Order ID</v>
      </c>
    </row>
    <row r="49" spans="1:13" x14ac:dyDescent="0.3">
      <c r="A49" t="s">
        <v>105</v>
      </c>
      <c r="B49" s="1">
        <v>46052</v>
      </c>
      <c r="C49" t="s">
        <v>17</v>
      </c>
      <c r="D49" t="s">
        <v>58</v>
      </c>
      <c r="E49" t="s">
        <v>13</v>
      </c>
      <c r="F49" t="s">
        <v>19</v>
      </c>
      <c r="G49" t="s">
        <v>40</v>
      </c>
      <c r="H49" s="5">
        <v>5</v>
      </c>
      <c r="I49" s="3">
        <v>17065</v>
      </c>
      <c r="J49" s="10">
        <v>20</v>
      </c>
      <c r="K49" s="2">
        <v>68260</v>
      </c>
      <c r="L49" s="2">
        <f>Raw_Sales_Data3[[#This Row],[Quantity]]*Raw_Sales_Data3[[#This Row],[Unit Price]]*(Raw_Sales_Data3[[#This Row],[Discount %]]/100)</f>
        <v>17065</v>
      </c>
      <c r="M49" t="str">
        <f>IF(COUNTIF(Raw_Sales_Data3[Order ID],Raw_Sales_Data3[[#This Row],[Order ID]])&gt;1,"Duplicate Order ID","Unique Order ID")</f>
        <v>Duplicate Order ID</v>
      </c>
    </row>
    <row r="50" spans="1:13" x14ac:dyDescent="0.3">
      <c r="A50" t="s">
        <v>105</v>
      </c>
      <c r="B50" s="1">
        <v>46053</v>
      </c>
      <c r="C50" t="s">
        <v>45</v>
      </c>
      <c r="D50" t="s">
        <v>23</v>
      </c>
      <c r="E50" t="s">
        <v>39</v>
      </c>
      <c r="F50" t="s">
        <v>24</v>
      </c>
      <c r="G50" t="s">
        <v>53</v>
      </c>
      <c r="H50" s="5">
        <v>12</v>
      </c>
      <c r="I50" s="3">
        <v>44021</v>
      </c>
      <c r="J50" s="10">
        <v>5</v>
      </c>
      <c r="K50" s="2">
        <v>501839.4</v>
      </c>
      <c r="L50" s="2">
        <f>Raw_Sales_Data3[[#This Row],[Quantity]]*Raw_Sales_Data3[[#This Row],[Unit Price]]*(Raw_Sales_Data3[[#This Row],[Discount %]]/100)</f>
        <v>26412.600000000002</v>
      </c>
      <c r="M50" t="str">
        <f>IF(COUNTIF(Raw_Sales_Data3[Order ID],Raw_Sales_Data3[[#This Row],[Order ID]])&gt;1,"Duplicate Order ID","Unique Order ID")</f>
        <v>Duplicate Order ID</v>
      </c>
    </row>
    <row r="51" spans="1:13" x14ac:dyDescent="0.3">
      <c r="A51" t="s">
        <v>106</v>
      </c>
      <c r="B51" s="1">
        <v>46112</v>
      </c>
      <c r="C51" t="s">
        <v>89</v>
      </c>
      <c r="D51" t="s">
        <v>58</v>
      </c>
      <c r="E51" t="s">
        <v>18</v>
      </c>
      <c r="F51" t="s">
        <v>24</v>
      </c>
      <c r="G51" t="s">
        <v>53</v>
      </c>
      <c r="H51" s="5">
        <v>12</v>
      </c>
      <c r="I51" s="3">
        <v>28950</v>
      </c>
      <c r="J51" s="10">
        <v>5</v>
      </c>
      <c r="K51" s="2">
        <v>330030</v>
      </c>
      <c r="L51" s="2">
        <f>Raw_Sales_Data3[[#This Row],[Quantity]]*Raw_Sales_Data3[[#This Row],[Unit Price]]*(Raw_Sales_Data3[[#This Row],[Discount %]]/100)</f>
        <v>17370</v>
      </c>
      <c r="M51" t="str">
        <f>IF(COUNTIF(Raw_Sales_Data3[Order ID],Raw_Sales_Data3[[#This Row],[Order ID]])&gt;1,"Duplicate Order ID","Unique Order ID")</f>
        <v>Unique Order ID</v>
      </c>
    </row>
    <row r="52" spans="1:13" x14ac:dyDescent="0.3">
      <c r="A52" t="s">
        <v>107</v>
      </c>
      <c r="B52" s="1">
        <v>46059</v>
      </c>
      <c r="C52" t="s">
        <v>36</v>
      </c>
      <c r="D52" t="s">
        <v>58</v>
      </c>
      <c r="E52" t="s">
        <v>28</v>
      </c>
      <c r="F52" t="s">
        <v>24</v>
      </c>
      <c r="G52" t="s">
        <v>53</v>
      </c>
      <c r="H52" s="5">
        <v>9</v>
      </c>
      <c r="I52" s="3">
        <v>5881</v>
      </c>
      <c r="J52" s="10">
        <v>15</v>
      </c>
      <c r="K52" s="2">
        <v>44989.65</v>
      </c>
      <c r="L52" s="2">
        <f>Raw_Sales_Data3[[#This Row],[Quantity]]*Raw_Sales_Data3[[#This Row],[Unit Price]]*(Raw_Sales_Data3[[#This Row],[Discount %]]/100)</f>
        <v>7939.3499999999995</v>
      </c>
      <c r="M52" t="str">
        <f>IF(COUNTIF(Raw_Sales_Data3[Order ID],Raw_Sales_Data3[[#This Row],[Order ID]])&gt;1,"Duplicate Order ID","Unique Order ID")</f>
        <v>Unique Order ID</v>
      </c>
    </row>
    <row r="53" spans="1:13" x14ac:dyDescent="0.3">
      <c r="A53" t="s">
        <v>108</v>
      </c>
      <c r="B53" s="1">
        <v>46094</v>
      </c>
      <c r="C53" t="s">
        <v>62</v>
      </c>
      <c r="D53" t="s">
        <v>23</v>
      </c>
      <c r="E53" t="s">
        <v>13</v>
      </c>
      <c r="F53" t="s">
        <v>24</v>
      </c>
      <c r="G53" t="s">
        <v>53</v>
      </c>
      <c r="H53" s="5">
        <v>1</v>
      </c>
      <c r="I53" s="3">
        <v>36143</v>
      </c>
      <c r="J53" s="10">
        <v>15</v>
      </c>
      <c r="K53" s="2">
        <v>30721.55</v>
      </c>
      <c r="L53" s="2">
        <f>Raw_Sales_Data3[[#This Row],[Quantity]]*Raw_Sales_Data3[[#This Row],[Unit Price]]*(Raw_Sales_Data3[[#This Row],[Discount %]]/100)</f>
        <v>5421.45</v>
      </c>
      <c r="M53" t="str">
        <f>IF(COUNTIF(Raw_Sales_Data3[Order ID],Raw_Sales_Data3[[#This Row],[Order ID]])&gt;1,"Duplicate Order ID","Unique Order ID")</f>
        <v>Unique Order ID</v>
      </c>
    </row>
    <row r="54" spans="1:13" x14ac:dyDescent="0.3">
      <c r="A54" t="s">
        <v>109</v>
      </c>
      <c r="B54" s="1">
        <v>46072</v>
      </c>
      <c r="C54" t="s">
        <v>69</v>
      </c>
      <c r="D54" t="s">
        <v>23</v>
      </c>
      <c r="E54" t="s">
        <v>28</v>
      </c>
      <c r="F54" t="s">
        <v>19</v>
      </c>
      <c r="G54" t="s">
        <v>31</v>
      </c>
      <c r="H54" s="5">
        <v>8</v>
      </c>
      <c r="I54" s="3">
        <v>7116</v>
      </c>
      <c r="J54" s="10">
        <v>0</v>
      </c>
      <c r="K54" s="2">
        <v>56928</v>
      </c>
      <c r="L54" s="2">
        <f>Raw_Sales_Data3[[#This Row],[Quantity]]*Raw_Sales_Data3[[#This Row],[Unit Price]]*(Raw_Sales_Data3[[#This Row],[Discount %]]/100)</f>
        <v>0</v>
      </c>
      <c r="M54" t="str">
        <f>IF(COUNTIF(Raw_Sales_Data3[Order ID],Raw_Sales_Data3[[#This Row],[Order ID]])&gt;1,"Duplicate Order ID","Unique Order ID")</f>
        <v>Unique Order ID</v>
      </c>
    </row>
    <row r="55" spans="1:13" x14ac:dyDescent="0.3">
      <c r="A55" t="s">
        <v>110</v>
      </c>
      <c r="B55" s="1">
        <v>46056</v>
      </c>
      <c r="C55" t="s">
        <v>45</v>
      </c>
      <c r="D55" t="s">
        <v>23</v>
      </c>
      <c r="E55" t="s">
        <v>28</v>
      </c>
      <c r="F55" t="s">
        <v>19</v>
      </c>
      <c r="G55" t="s">
        <v>20</v>
      </c>
      <c r="H55" s="5">
        <v>9</v>
      </c>
      <c r="I55" s="3">
        <v>56802</v>
      </c>
      <c r="J55" s="10">
        <v>5</v>
      </c>
      <c r="K55" s="2">
        <v>485657.1</v>
      </c>
      <c r="L55" s="2">
        <f>Raw_Sales_Data3[[#This Row],[Quantity]]*Raw_Sales_Data3[[#This Row],[Unit Price]]*(Raw_Sales_Data3[[#This Row],[Discount %]]/100)</f>
        <v>25560.9</v>
      </c>
      <c r="M55" t="str">
        <f>IF(COUNTIF(Raw_Sales_Data3[Order ID],Raw_Sales_Data3[[#This Row],[Order ID]])&gt;1,"Duplicate Order ID","Unique Order ID")</f>
        <v>Unique Order ID</v>
      </c>
    </row>
    <row r="56" spans="1:13" x14ac:dyDescent="0.3">
      <c r="A56" t="s">
        <v>111</v>
      </c>
      <c r="B56" s="1"/>
      <c r="C56" t="s">
        <v>17</v>
      </c>
      <c r="D56" t="s">
        <v>43</v>
      </c>
      <c r="E56" t="s">
        <v>13</v>
      </c>
      <c r="F56" t="s">
        <v>24</v>
      </c>
      <c r="G56" t="s">
        <v>55</v>
      </c>
      <c r="H56" s="5">
        <v>8</v>
      </c>
      <c r="I56" s="3">
        <v>28420</v>
      </c>
      <c r="J56" s="10">
        <v>0</v>
      </c>
      <c r="K56" s="2">
        <v>227360</v>
      </c>
      <c r="L56" s="2">
        <f>Raw_Sales_Data3[[#This Row],[Quantity]]*Raw_Sales_Data3[[#This Row],[Unit Price]]*(Raw_Sales_Data3[[#This Row],[Discount %]]/100)</f>
        <v>0</v>
      </c>
      <c r="M56" t="str">
        <f>IF(COUNTIF(Raw_Sales_Data3[Order ID],Raw_Sales_Data3[[#This Row],[Order ID]])&gt;1,"Duplicate Order ID","Unique Order ID")</f>
        <v>Unique Order ID</v>
      </c>
    </row>
    <row r="57" spans="1:13" x14ac:dyDescent="0.3">
      <c r="A57" t="s">
        <v>112</v>
      </c>
      <c r="B57" s="1">
        <v>46040</v>
      </c>
      <c r="C57" t="s">
        <v>62</v>
      </c>
      <c r="D57" t="s">
        <v>58</v>
      </c>
      <c r="E57" t="s">
        <v>18</v>
      </c>
      <c r="F57" t="s">
        <v>19</v>
      </c>
      <c r="G57" t="s">
        <v>79</v>
      </c>
      <c r="H57" s="5">
        <v>13</v>
      </c>
      <c r="I57" s="3">
        <v>17161</v>
      </c>
      <c r="J57" s="10">
        <v>20</v>
      </c>
      <c r="K57" s="2">
        <v>178474.4</v>
      </c>
      <c r="L57" s="2">
        <f>Raw_Sales_Data3[[#This Row],[Quantity]]*Raw_Sales_Data3[[#This Row],[Unit Price]]*(Raw_Sales_Data3[[#This Row],[Discount %]]/100)</f>
        <v>44618.600000000006</v>
      </c>
      <c r="M57" t="str">
        <f>IF(COUNTIF(Raw_Sales_Data3[Order ID],Raw_Sales_Data3[[#This Row],[Order ID]])&gt;1,"Duplicate Order ID","Unique Order ID")</f>
        <v>Unique Order ID</v>
      </c>
    </row>
    <row r="58" spans="1:13" x14ac:dyDescent="0.3">
      <c r="A58" t="s">
        <v>113</v>
      </c>
      <c r="B58" s="1">
        <v>46035</v>
      </c>
      <c r="C58" t="s">
        <v>89</v>
      </c>
      <c r="D58" t="s">
        <v>70</v>
      </c>
      <c r="E58" t="s">
        <v>39</v>
      </c>
      <c r="F58" t="s">
        <v>19</v>
      </c>
      <c r="G58" t="s">
        <v>79</v>
      </c>
      <c r="H58" s="5">
        <v>12</v>
      </c>
      <c r="I58" s="3">
        <v>29466</v>
      </c>
      <c r="J58" s="10">
        <v>10</v>
      </c>
      <c r="K58" s="2">
        <v>318232.8</v>
      </c>
      <c r="L58" s="2">
        <f>Raw_Sales_Data3[[#This Row],[Quantity]]*Raw_Sales_Data3[[#This Row],[Unit Price]]*(Raw_Sales_Data3[[#This Row],[Discount %]]/100)</f>
        <v>35359.200000000004</v>
      </c>
      <c r="M58" t="str">
        <f>IF(COUNTIF(Raw_Sales_Data3[Order ID],Raw_Sales_Data3[[#This Row],[Order ID]])&gt;1,"Duplicate Order ID","Unique Order ID")</f>
        <v>Duplicate Order ID</v>
      </c>
    </row>
    <row r="59" spans="1:13" x14ac:dyDescent="0.3">
      <c r="A59" t="s">
        <v>113</v>
      </c>
      <c r="B59" s="1">
        <v>46073</v>
      </c>
      <c r="C59" t="s">
        <v>27</v>
      </c>
      <c r="D59" t="s">
        <v>43</v>
      </c>
      <c r="E59" t="s">
        <v>18</v>
      </c>
      <c r="F59" t="s">
        <v>24</v>
      </c>
      <c r="G59" t="s">
        <v>53</v>
      </c>
      <c r="H59" s="5">
        <v>8</v>
      </c>
      <c r="I59" s="3">
        <v>44285</v>
      </c>
      <c r="J59" s="10">
        <v>20</v>
      </c>
      <c r="K59" s="2">
        <v>283424</v>
      </c>
      <c r="L59" s="2">
        <f>Raw_Sales_Data3[[#This Row],[Quantity]]*Raw_Sales_Data3[[#This Row],[Unit Price]]*(Raw_Sales_Data3[[#This Row],[Discount %]]/100)</f>
        <v>70856</v>
      </c>
      <c r="M59" t="str">
        <f>IF(COUNTIF(Raw_Sales_Data3[Order ID],Raw_Sales_Data3[[#This Row],[Order ID]])&gt;1,"Duplicate Order ID","Unique Order ID")</f>
        <v>Duplicate Order ID</v>
      </c>
    </row>
    <row r="60" spans="1:13" x14ac:dyDescent="0.3">
      <c r="A60" t="s">
        <v>114</v>
      </c>
      <c r="B60" s="1">
        <v>46083</v>
      </c>
      <c r="C60" t="s">
        <v>42</v>
      </c>
      <c r="D60" t="s">
        <v>58</v>
      </c>
      <c r="E60" t="s">
        <v>18</v>
      </c>
      <c r="F60" t="s">
        <v>19</v>
      </c>
      <c r="G60" t="s">
        <v>59</v>
      </c>
      <c r="H60" s="5">
        <v>13</v>
      </c>
      <c r="I60" s="3">
        <v>35285</v>
      </c>
      <c r="J60" s="10">
        <v>0</v>
      </c>
      <c r="K60" s="2">
        <v>458705</v>
      </c>
      <c r="L60" s="2">
        <f>Raw_Sales_Data3[[#This Row],[Quantity]]*Raw_Sales_Data3[[#This Row],[Unit Price]]*(Raw_Sales_Data3[[#This Row],[Discount %]]/100)</f>
        <v>0</v>
      </c>
      <c r="M60" t="str">
        <f>IF(COUNTIF(Raw_Sales_Data3[Order ID],Raw_Sales_Data3[[#This Row],[Order ID]])&gt;1,"Duplicate Order ID","Unique Order ID")</f>
        <v>Unique Order ID</v>
      </c>
    </row>
    <row r="61" spans="1:13" x14ac:dyDescent="0.3">
      <c r="A61" t="s">
        <v>115</v>
      </c>
      <c r="B61" s="1">
        <v>46088</v>
      </c>
      <c r="C61" t="s">
        <v>42</v>
      </c>
      <c r="D61" t="s">
        <v>58</v>
      </c>
      <c r="E61" t="s">
        <v>39</v>
      </c>
      <c r="F61" t="s">
        <v>24</v>
      </c>
      <c r="G61" t="s">
        <v>77</v>
      </c>
      <c r="H61" s="5">
        <v>9</v>
      </c>
      <c r="I61" s="3">
        <v>12266</v>
      </c>
      <c r="J61" s="10">
        <v>15</v>
      </c>
      <c r="K61" s="2">
        <v>93834.9</v>
      </c>
      <c r="L61" s="2">
        <f>Raw_Sales_Data3[[#This Row],[Quantity]]*Raw_Sales_Data3[[#This Row],[Unit Price]]*(Raw_Sales_Data3[[#This Row],[Discount %]]/100)</f>
        <v>16559.099999999999</v>
      </c>
      <c r="M61" t="str">
        <f>IF(COUNTIF(Raw_Sales_Data3[Order ID],Raw_Sales_Data3[[#This Row],[Order ID]])&gt;1,"Duplicate Order ID","Unique Order ID")</f>
        <v>Unique Order ID</v>
      </c>
    </row>
    <row r="62" spans="1:13" x14ac:dyDescent="0.3">
      <c r="A62" t="s">
        <v>116</v>
      </c>
      <c r="B62" s="1"/>
      <c r="C62" t="s">
        <v>38</v>
      </c>
      <c r="D62" t="s">
        <v>58</v>
      </c>
      <c r="E62" t="s">
        <v>13</v>
      </c>
      <c r="F62" t="s">
        <v>19</v>
      </c>
      <c r="G62" t="s">
        <v>117</v>
      </c>
      <c r="H62" s="5">
        <v>10</v>
      </c>
      <c r="I62" s="3">
        <v>6145</v>
      </c>
      <c r="J62" s="10">
        <v>0</v>
      </c>
      <c r="K62" s="2">
        <v>61450</v>
      </c>
      <c r="L62" s="2">
        <f>Raw_Sales_Data3[[#This Row],[Quantity]]*Raw_Sales_Data3[[#This Row],[Unit Price]]*(Raw_Sales_Data3[[#This Row],[Discount %]]/100)</f>
        <v>0</v>
      </c>
      <c r="M62" t="str">
        <f>IF(COUNTIF(Raw_Sales_Data3[Order ID],Raw_Sales_Data3[[#This Row],[Order ID]])&gt;1,"Duplicate Order ID","Unique Order ID")</f>
        <v>Unique Order ID</v>
      </c>
    </row>
    <row r="63" spans="1:13" x14ac:dyDescent="0.3">
      <c r="A63" t="s">
        <v>118</v>
      </c>
      <c r="B63" s="1">
        <v>46054</v>
      </c>
      <c r="C63" t="s">
        <v>62</v>
      </c>
      <c r="D63" t="s">
        <v>58</v>
      </c>
      <c r="E63" t="s">
        <v>39</v>
      </c>
      <c r="F63" t="s">
        <v>14</v>
      </c>
      <c r="G63" t="s">
        <v>98</v>
      </c>
      <c r="H63" s="5">
        <v>13</v>
      </c>
      <c r="I63" s="3">
        <v>40172</v>
      </c>
      <c r="J63" s="10">
        <v>20</v>
      </c>
      <c r="K63" s="2">
        <v>417788.8</v>
      </c>
      <c r="L63" s="2">
        <f>Raw_Sales_Data3[[#This Row],[Quantity]]*Raw_Sales_Data3[[#This Row],[Unit Price]]*(Raw_Sales_Data3[[#This Row],[Discount %]]/100)</f>
        <v>104447.20000000001</v>
      </c>
      <c r="M63" t="str">
        <f>IF(COUNTIF(Raw_Sales_Data3[Order ID],Raw_Sales_Data3[[#This Row],[Order ID]])&gt;1,"Duplicate Order ID","Unique Order ID")</f>
        <v>Unique Order ID</v>
      </c>
    </row>
    <row r="64" spans="1:13" x14ac:dyDescent="0.3">
      <c r="A64" t="s">
        <v>119</v>
      </c>
      <c r="B64" s="1">
        <v>46084</v>
      </c>
      <c r="C64" t="s">
        <v>22</v>
      </c>
      <c r="D64" t="s">
        <v>58</v>
      </c>
      <c r="E64" t="s">
        <v>28</v>
      </c>
      <c r="F64" t="s">
        <v>19</v>
      </c>
      <c r="G64" t="s">
        <v>120</v>
      </c>
      <c r="H64" s="5">
        <v>15</v>
      </c>
      <c r="I64" s="3">
        <v>13528</v>
      </c>
      <c r="J64" s="10">
        <v>0</v>
      </c>
      <c r="K64" s="2">
        <v>202920</v>
      </c>
      <c r="L64" s="2">
        <f>Raw_Sales_Data3[[#This Row],[Quantity]]*Raw_Sales_Data3[[#This Row],[Unit Price]]*(Raw_Sales_Data3[[#This Row],[Discount %]]/100)</f>
        <v>0</v>
      </c>
      <c r="M64" t="str">
        <f>IF(COUNTIF(Raw_Sales_Data3[Order ID],Raw_Sales_Data3[[#This Row],[Order ID]])&gt;1,"Duplicate Order ID","Unique Order ID")</f>
        <v>Unique Order ID</v>
      </c>
    </row>
    <row r="65" spans="1:13" x14ac:dyDescent="0.3">
      <c r="A65" t="s">
        <v>121</v>
      </c>
      <c r="B65" s="1">
        <v>46026</v>
      </c>
      <c r="C65" t="s">
        <v>42</v>
      </c>
      <c r="D65" t="s">
        <v>23</v>
      </c>
      <c r="E65" t="s">
        <v>39</v>
      </c>
      <c r="F65" t="s">
        <v>24</v>
      </c>
      <c r="G65" t="s">
        <v>53</v>
      </c>
      <c r="H65" s="5">
        <v>13</v>
      </c>
      <c r="I65" s="3">
        <v>50348</v>
      </c>
      <c r="J65" s="10">
        <v>15</v>
      </c>
      <c r="K65" s="2">
        <v>556345.4</v>
      </c>
      <c r="L65" s="2">
        <f>Raw_Sales_Data3[[#This Row],[Quantity]]*Raw_Sales_Data3[[#This Row],[Unit Price]]*(Raw_Sales_Data3[[#This Row],[Discount %]]/100)</f>
        <v>98178.599999999991</v>
      </c>
      <c r="M65" t="str">
        <f>IF(COUNTIF(Raw_Sales_Data3[Order ID],Raw_Sales_Data3[[#This Row],[Order ID]])&gt;1,"Duplicate Order ID","Unique Order ID")</f>
        <v>Unique Order ID</v>
      </c>
    </row>
    <row r="66" spans="1:13" x14ac:dyDescent="0.3">
      <c r="A66" t="s">
        <v>122</v>
      </c>
      <c r="B66" s="1">
        <v>46075</v>
      </c>
      <c r="C66" t="s">
        <v>123</v>
      </c>
      <c r="D66" t="s">
        <v>23</v>
      </c>
      <c r="E66" t="s">
        <v>28</v>
      </c>
      <c r="F66" t="s">
        <v>19</v>
      </c>
      <c r="G66" t="s">
        <v>79</v>
      </c>
      <c r="H66" s="5">
        <v>3</v>
      </c>
      <c r="I66" s="3">
        <f>K66/H66</f>
        <v>31417.45</v>
      </c>
      <c r="J66" s="10">
        <v>5</v>
      </c>
      <c r="K66" s="2">
        <v>94252.35</v>
      </c>
      <c r="L66" s="2">
        <f>Raw_Sales_Data3[[#This Row],[Quantity]]*Raw_Sales_Data3[[#This Row],[Unit Price]]*(Raw_Sales_Data3[[#This Row],[Discount %]]/100)</f>
        <v>4712.6175000000003</v>
      </c>
      <c r="M66" t="str">
        <f>IF(COUNTIF(Raw_Sales_Data3[Order ID],Raw_Sales_Data3[[#This Row],[Order ID]])&gt;1,"Duplicate Order ID","Unique Order ID")</f>
        <v>Unique Order ID</v>
      </c>
    </row>
    <row r="67" spans="1:13" x14ac:dyDescent="0.3">
      <c r="A67" t="s">
        <v>124</v>
      </c>
      <c r="B67" s="1">
        <v>46031</v>
      </c>
      <c r="C67" t="s">
        <v>123</v>
      </c>
      <c r="D67" t="s">
        <v>23</v>
      </c>
      <c r="E67" t="s">
        <v>39</v>
      </c>
      <c r="F67" t="s">
        <v>14</v>
      </c>
      <c r="G67" t="s">
        <v>125</v>
      </c>
      <c r="H67" s="5">
        <v>7</v>
      </c>
      <c r="I67" s="3">
        <v>31084</v>
      </c>
      <c r="J67" s="10">
        <v>20</v>
      </c>
      <c r="K67" s="2">
        <v>174070.39999999999</v>
      </c>
      <c r="L67" s="2">
        <f>Raw_Sales_Data3[[#This Row],[Quantity]]*Raw_Sales_Data3[[#This Row],[Unit Price]]*(Raw_Sales_Data3[[#This Row],[Discount %]]/100)</f>
        <v>43517.600000000006</v>
      </c>
      <c r="M67" t="str">
        <f>IF(COUNTIF(Raw_Sales_Data3[Order ID],Raw_Sales_Data3[[#This Row],[Order ID]])&gt;1,"Duplicate Order ID","Unique Order ID")</f>
        <v>Unique Order ID</v>
      </c>
    </row>
    <row r="68" spans="1:13" x14ac:dyDescent="0.3">
      <c r="A68" t="s">
        <v>126</v>
      </c>
      <c r="B68" s="1">
        <v>46106</v>
      </c>
      <c r="C68" t="s">
        <v>62</v>
      </c>
      <c r="D68" t="s">
        <v>58</v>
      </c>
      <c r="E68" t="s">
        <v>39</v>
      </c>
      <c r="F68" t="s">
        <v>24</v>
      </c>
      <c r="G68" t="s">
        <v>25</v>
      </c>
      <c r="H68" s="5">
        <v>10</v>
      </c>
      <c r="I68" s="3">
        <v>1903</v>
      </c>
      <c r="J68" s="10">
        <v>5</v>
      </c>
      <c r="K68" s="2">
        <v>18078.5</v>
      </c>
      <c r="L68" s="2">
        <f>Raw_Sales_Data3[[#This Row],[Quantity]]*Raw_Sales_Data3[[#This Row],[Unit Price]]*(Raw_Sales_Data3[[#This Row],[Discount %]]/100)</f>
        <v>951.5</v>
      </c>
      <c r="M68" t="str">
        <f>IF(COUNTIF(Raw_Sales_Data3[Order ID],Raw_Sales_Data3[[#This Row],[Order ID]])&gt;1,"Duplicate Order ID","Unique Order ID")</f>
        <v>Unique Order ID</v>
      </c>
    </row>
    <row r="69" spans="1:13" x14ac:dyDescent="0.3">
      <c r="A69" t="s">
        <v>127</v>
      </c>
      <c r="B69" s="1">
        <v>46095</v>
      </c>
      <c r="C69" t="s">
        <v>64</v>
      </c>
      <c r="D69" t="s">
        <v>58</v>
      </c>
      <c r="E69" t="s">
        <v>39</v>
      </c>
      <c r="F69" t="s">
        <v>24</v>
      </c>
      <c r="G69" t="s">
        <v>71</v>
      </c>
      <c r="H69" s="5">
        <f>K69/(I69*(1-J69/100))</f>
        <v>8</v>
      </c>
      <c r="I69" s="3">
        <v>36311</v>
      </c>
      <c r="J69" s="10">
        <v>10</v>
      </c>
      <c r="K69" s="2">
        <v>261439.2</v>
      </c>
      <c r="L69" s="2">
        <f>Raw_Sales_Data3[[#This Row],[Quantity]]*Raw_Sales_Data3[[#This Row],[Unit Price]]*(Raw_Sales_Data3[[#This Row],[Discount %]]/100)</f>
        <v>29048.800000000003</v>
      </c>
      <c r="M69" t="str">
        <f>IF(COUNTIF(Raw_Sales_Data3[Order ID],Raw_Sales_Data3[[#This Row],[Order ID]])&gt;1,"Duplicate Order ID","Unique Order ID")</f>
        <v>Unique Order ID</v>
      </c>
    </row>
    <row r="70" spans="1:13" x14ac:dyDescent="0.3">
      <c r="A70" t="s">
        <v>128</v>
      </c>
      <c r="B70" s="1">
        <v>46082</v>
      </c>
      <c r="C70" t="s">
        <v>12</v>
      </c>
      <c r="D70" t="s">
        <v>70</v>
      </c>
      <c r="E70" t="s">
        <v>28</v>
      </c>
      <c r="F70" t="s">
        <v>19</v>
      </c>
      <c r="G70" t="s">
        <v>40</v>
      </c>
      <c r="H70" s="5">
        <v>12</v>
      </c>
      <c r="I70" s="3">
        <v>23754</v>
      </c>
      <c r="J70" s="10">
        <v>0</v>
      </c>
      <c r="K70" s="2">
        <v>256543.2</v>
      </c>
      <c r="L70" s="2">
        <f>Raw_Sales_Data3[[#This Row],[Quantity]]*Raw_Sales_Data3[[#This Row],[Unit Price]]*(Raw_Sales_Data3[[#This Row],[Discount %]]/100)</f>
        <v>0</v>
      </c>
      <c r="M70" t="str">
        <f>IF(COUNTIF(Raw_Sales_Data3[Order ID],Raw_Sales_Data3[[#This Row],[Order ID]])&gt;1,"Duplicate Order ID","Unique Order ID")</f>
        <v>Unique Order ID</v>
      </c>
    </row>
    <row r="71" spans="1:13" x14ac:dyDescent="0.3">
      <c r="A71" t="s">
        <v>129</v>
      </c>
      <c r="B71" s="1">
        <v>46090</v>
      </c>
      <c r="C71" t="s">
        <v>12</v>
      </c>
      <c r="D71" t="s">
        <v>43</v>
      </c>
      <c r="E71" t="s">
        <v>13</v>
      </c>
      <c r="F71" t="s">
        <v>19</v>
      </c>
      <c r="G71" t="s">
        <v>117</v>
      </c>
      <c r="H71" s="5">
        <v>4</v>
      </c>
      <c r="I71" s="3">
        <v>52965</v>
      </c>
      <c r="J71" s="10">
        <v>0</v>
      </c>
      <c r="K71" s="2">
        <v>211860</v>
      </c>
      <c r="L71" s="2">
        <f>Raw_Sales_Data3[[#This Row],[Quantity]]*Raw_Sales_Data3[[#This Row],[Unit Price]]*(Raw_Sales_Data3[[#This Row],[Discount %]]/100)</f>
        <v>0</v>
      </c>
      <c r="M71" t="str">
        <f>IF(COUNTIF(Raw_Sales_Data3[Order ID],Raw_Sales_Data3[[#This Row],[Order ID]])&gt;1,"Duplicate Order ID","Unique Order ID")</f>
        <v>Unique Order ID</v>
      </c>
    </row>
    <row r="72" spans="1:13" x14ac:dyDescent="0.3">
      <c r="A72" t="s">
        <v>130</v>
      </c>
      <c r="B72" s="1">
        <v>46051</v>
      </c>
      <c r="C72" t="s">
        <v>57</v>
      </c>
      <c r="D72" t="s">
        <v>70</v>
      </c>
      <c r="E72" t="s">
        <v>18</v>
      </c>
      <c r="F72" t="s">
        <v>14</v>
      </c>
      <c r="G72" t="s">
        <v>103</v>
      </c>
      <c r="H72" s="5">
        <v>5</v>
      </c>
      <c r="I72" s="3">
        <v>36268</v>
      </c>
      <c r="J72" s="10">
        <v>15</v>
      </c>
      <c r="K72" s="2">
        <v>154139</v>
      </c>
      <c r="L72" s="2">
        <f>Raw_Sales_Data3[[#This Row],[Quantity]]*Raw_Sales_Data3[[#This Row],[Unit Price]]*(Raw_Sales_Data3[[#This Row],[Discount %]]/100)</f>
        <v>27201</v>
      </c>
      <c r="M72" t="str">
        <f>IF(COUNTIF(Raw_Sales_Data3[Order ID],Raw_Sales_Data3[[#This Row],[Order ID]])&gt;1,"Duplicate Order ID","Unique Order ID")</f>
        <v>Unique Order ID</v>
      </c>
    </row>
    <row r="73" spans="1:13" x14ac:dyDescent="0.3">
      <c r="A73" t="s">
        <v>131</v>
      </c>
      <c r="B73" s="1">
        <v>46035</v>
      </c>
      <c r="C73" t="s">
        <v>64</v>
      </c>
      <c r="D73" t="s">
        <v>70</v>
      </c>
      <c r="E73" t="s">
        <v>18</v>
      </c>
      <c r="F73" t="s">
        <v>24</v>
      </c>
      <c r="G73" t="s">
        <v>29</v>
      </c>
      <c r="H73" s="5">
        <v>10</v>
      </c>
      <c r="I73" s="3">
        <v>28080</v>
      </c>
      <c r="J73" s="10">
        <v>15</v>
      </c>
      <c r="K73" s="2">
        <v>238680</v>
      </c>
      <c r="L73" s="2">
        <f>Raw_Sales_Data3[[#This Row],[Quantity]]*Raw_Sales_Data3[[#This Row],[Unit Price]]*(Raw_Sales_Data3[[#This Row],[Discount %]]/100)</f>
        <v>42120</v>
      </c>
      <c r="M73" t="str">
        <f>IF(COUNTIF(Raw_Sales_Data3[Order ID],Raw_Sales_Data3[[#This Row],[Order ID]])&gt;1,"Duplicate Order ID","Unique Order ID")</f>
        <v>Unique Order ID</v>
      </c>
    </row>
    <row r="74" spans="1:13" x14ac:dyDescent="0.3">
      <c r="A74" t="s">
        <v>132</v>
      </c>
      <c r="B74" s="1">
        <v>46093</v>
      </c>
      <c r="C74" t="s">
        <v>57</v>
      </c>
      <c r="D74" t="s">
        <v>23</v>
      </c>
      <c r="E74" t="s">
        <v>28</v>
      </c>
      <c r="F74" t="s">
        <v>14</v>
      </c>
      <c r="G74" t="s">
        <v>125</v>
      </c>
      <c r="H74" s="5">
        <v>6</v>
      </c>
      <c r="I74" s="3">
        <v>14679</v>
      </c>
      <c r="J74" s="10">
        <v>10</v>
      </c>
      <c r="K74" s="2">
        <v>79266.600000000006</v>
      </c>
      <c r="L74" s="2">
        <f>Raw_Sales_Data3[[#This Row],[Quantity]]*Raw_Sales_Data3[[#This Row],[Unit Price]]*(Raw_Sales_Data3[[#This Row],[Discount %]]/100)</f>
        <v>8807.4</v>
      </c>
      <c r="M74" t="str">
        <f>IF(COUNTIF(Raw_Sales_Data3[Order ID],Raw_Sales_Data3[[#This Row],[Order ID]])&gt;1,"Duplicate Order ID","Unique Order ID")</f>
        <v>Unique Order ID</v>
      </c>
    </row>
    <row r="75" spans="1:13" x14ac:dyDescent="0.3">
      <c r="A75" t="s">
        <v>133</v>
      </c>
      <c r="B75" s="1">
        <v>46104</v>
      </c>
      <c r="C75" t="s">
        <v>64</v>
      </c>
      <c r="D75" t="s">
        <v>58</v>
      </c>
      <c r="E75" t="s">
        <v>13</v>
      </c>
      <c r="F75" t="s">
        <v>24</v>
      </c>
      <c r="G75" t="s">
        <v>25</v>
      </c>
      <c r="H75" s="5">
        <v>10</v>
      </c>
      <c r="I75" s="3">
        <v>33248</v>
      </c>
      <c r="J75" s="10">
        <v>20</v>
      </c>
      <c r="K75" s="2">
        <v>265984</v>
      </c>
      <c r="L75" s="2">
        <f>Raw_Sales_Data3[[#This Row],[Quantity]]*Raw_Sales_Data3[[#This Row],[Unit Price]]*(Raw_Sales_Data3[[#This Row],[Discount %]]/100)</f>
        <v>66496</v>
      </c>
      <c r="M75" t="str">
        <f>IF(COUNTIF(Raw_Sales_Data3[Order ID],Raw_Sales_Data3[[#This Row],[Order ID]])&gt;1,"Duplicate Order ID","Unique Order ID")</f>
        <v>Unique Order ID</v>
      </c>
    </row>
    <row r="76" spans="1:13" x14ac:dyDescent="0.3">
      <c r="A76" t="s">
        <v>134</v>
      </c>
      <c r="B76" s="1">
        <v>46102</v>
      </c>
      <c r="C76" t="s">
        <v>64</v>
      </c>
      <c r="D76" t="s">
        <v>70</v>
      </c>
      <c r="E76" t="s">
        <v>28</v>
      </c>
      <c r="F76" t="s">
        <v>14</v>
      </c>
      <c r="G76" t="s">
        <v>73</v>
      </c>
      <c r="H76" s="5">
        <v>15</v>
      </c>
      <c r="I76" s="3">
        <v>18764</v>
      </c>
      <c r="J76" s="10">
        <v>10</v>
      </c>
      <c r="K76" s="2">
        <v>253314</v>
      </c>
      <c r="L76" s="2">
        <f>Raw_Sales_Data3[[#This Row],[Quantity]]*Raw_Sales_Data3[[#This Row],[Unit Price]]*(Raw_Sales_Data3[[#This Row],[Discount %]]/100)</f>
        <v>28146</v>
      </c>
      <c r="M76" t="str">
        <f>IF(COUNTIF(Raw_Sales_Data3[Order ID],Raw_Sales_Data3[[#This Row],[Order ID]])&gt;1,"Duplicate Order ID","Unique Order ID")</f>
        <v>Unique Order ID</v>
      </c>
    </row>
    <row r="77" spans="1:13" x14ac:dyDescent="0.3">
      <c r="A77" t="s">
        <v>135</v>
      </c>
      <c r="B77" s="1">
        <v>46059</v>
      </c>
      <c r="C77" t="s">
        <v>27</v>
      </c>
      <c r="D77" t="s">
        <v>70</v>
      </c>
      <c r="E77" t="s">
        <v>18</v>
      </c>
      <c r="F77" t="s">
        <v>24</v>
      </c>
      <c r="G77" t="s">
        <v>71</v>
      </c>
      <c r="H77" s="5">
        <v>12</v>
      </c>
      <c r="I77" s="3">
        <v>33609</v>
      </c>
      <c r="J77" s="10">
        <v>5</v>
      </c>
      <c r="K77" s="2">
        <v>383142.6</v>
      </c>
      <c r="L77" s="2">
        <f>Raw_Sales_Data3[[#This Row],[Quantity]]*Raw_Sales_Data3[[#This Row],[Unit Price]]*(Raw_Sales_Data3[[#This Row],[Discount %]]/100)</f>
        <v>20165.400000000001</v>
      </c>
      <c r="M77" t="str">
        <f>IF(COUNTIF(Raw_Sales_Data3[Order ID],Raw_Sales_Data3[[#This Row],[Order ID]])&gt;1,"Duplicate Order ID","Unique Order ID")</f>
        <v>Unique Order ID</v>
      </c>
    </row>
    <row r="78" spans="1:13" x14ac:dyDescent="0.3">
      <c r="A78" t="s">
        <v>136</v>
      </c>
      <c r="B78" s="1">
        <v>46110</v>
      </c>
      <c r="C78" t="s">
        <v>42</v>
      </c>
      <c r="D78" t="s">
        <v>23</v>
      </c>
      <c r="E78" t="s">
        <v>13</v>
      </c>
      <c r="F78" t="s">
        <v>14</v>
      </c>
      <c r="G78" t="s">
        <v>51</v>
      </c>
      <c r="H78" s="5">
        <v>3</v>
      </c>
      <c r="I78" s="3">
        <v>12728</v>
      </c>
      <c r="J78" s="10">
        <v>20</v>
      </c>
      <c r="K78" s="2">
        <v>30547.200000000001</v>
      </c>
      <c r="L78" s="2">
        <f>Raw_Sales_Data3[[#This Row],[Quantity]]*Raw_Sales_Data3[[#This Row],[Unit Price]]*(Raw_Sales_Data3[[#This Row],[Discount %]]/100)</f>
        <v>7636.8</v>
      </c>
      <c r="M78" t="str">
        <f>IF(COUNTIF(Raw_Sales_Data3[Order ID],Raw_Sales_Data3[[#This Row],[Order ID]])&gt;1,"Duplicate Order ID","Unique Order ID")</f>
        <v>Unique Order ID</v>
      </c>
    </row>
    <row r="79" spans="1:13" x14ac:dyDescent="0.3">
      <c r="A79" t="s">
        <v>137</v>
      </c>
      <c r="B79" s="1">
        <v>46057</v>
      </c>
      <c r="C79" t="s">
        <v>54</v>
      </c>
      <c r="D79" t="s">
        <v>58</v>
      </c>
      <c r="E79" t="s">
        <v>39</v>
      </c>
      <c r="F79" t="s">
        <v>19</v>
      </c>
      <c r="G79" t="s">
        <v>20</v>
      </c>
      <c r="H79" s="5">
        <v>2</v>
      </c>
      <c r="I79" s="3">
        <v>14857</v>
      </c>
      <c r="J79" s="10">
        <v>0</v>
      </c>
      <c r="K79" s="2">
        <v>29714</v>
      </c>
      <c r="L79" s="2">
        <f>Raw_Sales_Data3[[#This Row],[Quantity]]*Raw_Sales_Data3[[#This Row],[Unit Price]]*(Raw_Sales_Data3[[#This Row],[Discount %]]/100)</f>
        <v>0</v>
      </c>
      <c r="M79" t="str">
        <f>IF(COUNTIF(Raw_Sales_Data3[Order ID],Raw_Sales_Data3[[#This Row],[Order ID]])&gt;1,"Duplicate Order ID","Unique Order ID")</f>
        <v>Unique Order ID</v>
      </c>
    </row>
    <row r="80" spans="1:13" x14ac:dyDescent="0.3">
      <c r="A80" t="s">
        <v>138</v>
      </c>
      <c r="B80" s="1">
        <v>46108</v>
      </c>
      <c r="C80" t="s">
        <v>38</v>
      </c>
      <c r="D80" t="s">
        <v>43</v>
      </c>
      <c r="E80" t="s">
        <v>28</v>
      </c>
      <c r="F80" t="s">
        <v>14</v>
      </c>
      <c r="G80" t="s">
        <v>73</v>
      </c>
      <c r="H80" s="5">
        <v>12</v>
      </c>
      <c r="I80" s="3">
        <v>10266</v>
      </c>
      <c r="J80" s="10">
        <v>0</v>
      </c>
      <c r="K80" s="2">
        <v>123192</v>
      </c>
      <c r="L80" s="2">
        <f>Raw_Sales_Data3[[#This Row],[Quantity]]*Raw_Sales_Data3[[#This Row],[Unit Price]]*(Raw_Sales_Data3[[#This Row],[Discount %]]/100)</f>
        <v>0</v>
      </c>
      <c r="M80" t="str">
        <f>IF(COUNTIF(Raw_Sales_Data3[Order ID],Raw_Sales_Data3[[#This Row],[Order ID]])&gt;1,"Duplicate Order ID","Unique Order ID")</f>
        <v>Unique Order ID</v>
      </c>
    </row>
    <row r="81" spans="1:13" x14ac:dyDescent="0.3">
      <c r="A81" t="s">
        <v>139</v>
      </c>
      <c r="B81" s="1">
        <v>46082</v>
      </c>
      <c r="C81" t="s">
        <v>54</v>
      </c>
      <c r="D81" t="s">
        <v>58</v>
      </c>
      <c r="E81" t="s">
        <v>28</v>
      </c>
      <c r="F81" t="s">
        <v>24</v>
      </c>
      <c r="G81" t="s">
        <v>77</v>
      </c>
      <c r="H81" s="5">
        <v>13</v>
      </c>
      <c r="I81" s="3">
        <v>31554</v>
      </c>
      <c r="J81" s="10">
        <v>0</v>
      </c>
      <c r="K81" s="2">
        <v>410202</v>
      </c>
      <c r="L81" s="2">
        <f>Raw_Sales_Data3[[#This Row],[Quantity]]*Raw_Sales_Data3[[#This Row],[Unit Price]]*(Raw_Sales_Data3[[#This Row],[Discount %]]/100)</f>
        <v>0</v>
      </c>
      <c r="M81" t="str">
        <f>IF(COUNTIF(Raw_Sales_Data3[Order ID],Raw_Sales_Data3[[#This Row],[Order ID]])&gt;1,"Duplicate Order ID","Unique Order ID")</f>
        <v>Unique Order ID</v>
      </c>
    </row>
    <row r="82" spans="1:13" x14ac:dyDescent="0.3">
      <c r="A82" t="s">
        <v>140</v>
      </c>
      <c r="B82" s="1">
        <v>46108</v>
      </c>
      <c r="C82" t="s">
        <v>27</v>
      </c>
      <c r="D82" t="s">
        <v>58</v>
      </c>
      <c r="E82" t="s">
        <v>18</v>
      </c>
      <c r="F82" t="s">
        <v>24</v>
      </c>
      <c r="G82" t="s">
        <v>29</v>
      </c>
      <c r="H82" s="5">
        <v>14</v>
      </c>
      <c r="I82" s="3">
        <v>51539</v>
      </c>
      <c r="J82" s="10">
        <v>0</v>
      </c>
      <c r="K82" s="2">
        <v>721546</v>
      </c>
      <c r="L82" s="2">
        <f>Raw_Sales_Data3[[#This Row],[Quantity]]*Raw_Sales_Data3[[#This Row],[Unit Price]]*(Raw_Sales_Data3[[#This Row],[Discount %]]/100)</f>
        <v>0</v>
      </c>
      <c r="M82" t="str">
        <f>IF(COUNTIF(Raw_Sales_Data3[Order ID],Raw_Sales_Data3[[#This Row],[Order ID]])&gt;1,"Duplicate Order ID","Unique Order ID")</f>
        <v>Unique Order ID</v>
      </c>
    </row>
    <row r="83" spans="1:13" x14ac:dyDescent="0.3">
      <c r="A83" t="s">
        <v>141</v>
      </c>
      <c r="B83" s="1">
        <v>46046</v>
      </c>
      <c r="C83" t="s">
        <v>62</v>
      </c>
      <c r="D83" t="s">
        <v>58</v>
      </c>
      <c r="E83" t="s">
        <v>34</v>
      </c>
      <c r="F83" t="s">
        <v>19</v>
      </c>
      <c r="G83" t="s">
        <v>20</v>
      </c>
      <c r="H83" s="5">
        <v>15</v>
      </c>
      <c r="I83" s="3">
        <v>9711</v>
      </c>
      <c r="J83" s="10">
        <v>10</v>
      </c>
      <c r="K83" s="2">
        <v>131098.5</v>
      </c>
      <c r="L83" s="2">
        <f>Raw_Sales_Data3[[#This Row],[Quantity]]*Raw_Sales_Data3[[#This Row],[Unit Price]]*(Raw_Sales_Data3[[#This Row],[Discount %]]/100)</f>
        <v>14566.5</v>
      </c>
      <c r="M83" t="str">
        <f>IF(COUNTIF(Raw_Sales_Data3[Order ID],Raw_Sales_Data3[[#This Row],[Order ID]])&gt;1,"Duplicate Order ID","Unique Order ID")</f>
        <v>Unique Order ID</v>
      </c>
    </row>
    <row r="84" spans="1:13" x14ac:dyDescent="0.3">
      <c r="A84" t="s">
        <v>142</v>
      </c>
      <c r="B84" s="1">
        <v>46023</v>
      </c>
      <c r="C84" t="s">
        <v>64</v>
      </c>
      <c r="D84" t="s">
        <v>23</v>
      </c>
      <c r="E84" t="s">
        <v>13</v>
      </c>
      <c r="F84" t="s">
        <v>14</v>
      </c>
      <c r="G84" t="s">
        <v>156</v>
      </c>
      <c r="H84" s="5">
        <v>3</v>
      </c>
      <c r="I84" s="3">
        <v>40854</v>
      </c>
      <c r="J84" s="10">
        <v>5</v>
      </c>
      <c r="K84" s="2">
        <v>116433.9</v>
      </c>
      <c r="L84" s="2">
        <f>Raw_Sales_Data3[[#This Row],[Quantity]]*Raw_Sales_Data3[[#This Row],[Unit Price]]*(Raw_Sales_Data3[[#This Row],[Discount %]]/100)</f>
        <v>6128.1</v>
      </c>
      <c r="M84" t="str">
        <f>IF(COUNTIF(Raw_Sales_Data3[Order ID],Raw_Sales_Data3[[#This Row],[Order ID]])&gt;1,"Duplicate Order ID","Unique Order ID")</f>
        <v>Unique Order ID</v>
      </c>
    </row>
    <row r="85" spans="1:13" x14ac:dyDescent="0.3">
      <c r="A85" t="s">
        <v>143</v>
      </c>
      <c r="B85" s="1">
        <v>46032</v>
      </c>
      <c r="C85" t="s">
        <v>69</v>
      </c>
      <c r="D85" t="s">
        <v>58</v>
      </c>
      <c r="E85" t="s">
        <v>34</v>
      </c>
      <c r="F85" t="s">
        <v>24</v>
      </c>
      <c r="G85" t="s">
        <v>53</v>
      </c>
      <c r="H85" s="5">
        <v>13</v>
      </c>
      <c r="I85" s="3">
        <v>43260</v>
      </c>
      <c r="J85" s="10">
        <v>0</v>
      </c>
      <c r="K85" s="2">
        <v>562380</v>
      </c>
      <c r="L85" s="2">
        <f>Raw_Sales_Data3[[#This Row],[Quantity]]*Raw_Sales_Data3[[#This Row],[Unit Price]]*(Raw_Sales_Data3[[#This Row],[Discount %]]/100)</f>
        <v>0</v>
      </c>
      <c r="M85" t="str">
        <f>IF(COUNTIF(Raw_Sales_Data3[Order ID],Raw_Sales_Data3[[#This Row],[Order ID]])&gt;1,"Duplicate Order ID","Unique Order ID")</f>
        <v>Duplicate Order ID</v>
      </c>
    </row>
    <row r="86" spans="1:13" x14ac:dyDescent="0.3">
      <c r="A86" t="s">
        <v>143</v>
      </c>
      <c r="B86" s="1">
        <v>46049</v>
      </c>
      <c r="C86" t="s">
        <v>38</v>
      </c>
      <c r="D86" t="s">
        <v>58</v>
      </c>
      <c r="E86" t="s">
        <v>34</v>
      </c>
      <c r="F86" t="s">
        <v>14</v>
      </c>
      <c r="G86" t="s">
        <v>103</v>
      </c>
      <c r="H86" s="5">
        <v>2</v>
      </c>
      <c r="I86" s="3">
        <v>23668</v>
      </c>
      <c r="J86" s="10">
        <v>0</v>
      </c>
      <c r="K86" s="2">
        <v>47336</v>
      </c>
      <c r="L86" s="2">
        <f>Raw_Sales_Data3[[#This Row],[Quantity]]*Raw_Sales_Data3[[#This Row],[Unit Price]]*(Raw_Sales_Data3[[#This Row],[Discount %]]/100)</f>
        <v>0</v>
      </c>
      <c r="M86" t="str">
        <f>IF(COUNTIF(Raw_Sales_Data3[Order ID],Raw_Sales_Data3[[#This Row],[Order ID]])&gt;1,"Duplicate Order ID","Unique Order ID")</f>
        <v>Duplicate Order ID</v>
      </c>
    </row>
    <row r="87" spans="1:13" x14ac:dyDescent="0.3">
      <c r="A87" t="s">
        <v>144</v>
      </c>
      <c r="B87" s="1">
        <v>46040</v>
      </c>
      <c r="C87" t="s">
        <v>42</v>
      </c>
      <c r="D87" t="s">
        <v>23</v>
      </c>
      <c r="E87" t="s">
        <v>39</v>
      </c>
      <c r="F87" t="s">
        <v>14</v>
      </c>
      <c r="G87" t="s">
        <v>15</v>
      </c>
      <c r="H87" s="5">
        <v>1</v>
      </c>
      <c r="I87" s="3">
        <v>14135</v>
      </c>
      <c r="J87" s="10">
        <v>15</v>
      </c>
      <c r="K87" s="2">
        <v>12014.75</v>
      </c>
      <c r="L87" s="2">
        <f>Raw_Sales_Data3[[#This Row],[Quantity]]*Raw_Sales_Data3[[#This Row],[Unit Price]]*(Raw_Sales_Data3[[#This Row],[Discount %]]/100)</f>
        <v>2120.25</v>
      </c>
      <c r="M87" t="str">
        <f>IF(COUNTIF(Raw_Sales_Data3[Order ID],Raw_Sales_Data3[[#This Row],[Order ID]])&gt;1,"Duplicate Order ID","Unique Order ID")</f>
        <v>Unique Order ID</v>
      </c>
    </row>
    <row r="88" spans="1:13" x14ac:dyDescent="0.3">
      <c r="A88" t="s">
        <v>145</v>
      </c>
      <c r="B88" s="1">
        <v>46096</v>
      </c>
      <c r="C88" t="s">
        <v>62</v>
      </c>
      <c r="D88" t="s">
        <v>58</v>
      </c>
      <c r="E88" t="s">
        <v>13</v>
      </c>
      <c r="F88" t="s">
        <v>24</v>
      </c>
      <c r="G88" t="s">
        <v>77</v>
      </c>
      <c r="H88" s="5">
        <v>13</v>
      </c>
      <c r="I88" s="3">
        <v>16221</v>
      </c>
      <c r="J88" s="10">
        <v>0</v>
      </c>
      <c r="K88" s="2">
        <v>210873</v>
      </c>
      <c r="L88" s="2">
        <f>Raw_Sales_Data3[[#This Row],[Quantity]]*Raw_Sales_Data3[[#This Row],[Unit Price]]*(Raw_Sales_Data3[[#This Row],[Discount %]]/100)</f>
        <v>0</v>
      </c>
      <c r="M88" t="str">
        <f>IF(COUNTIF(Raw_Sales_Data3[Order ID],Raw_Sales_Data3[[#This Row],[Order ID]])&gt;1,"Duplicate Order ID","Unique Order ID")</f>
        <v>Unique Order ID</v>
      </c>
    </row>
    <row r="89" spans="1:13" x14ac:dyDescent="0.3">
      <c r="A89" t="s">
        <v>146</v>
      </c>
      <c r="B89" s="1">
        <v>46037</v>
      </c>
      <c r="C89" t="s">
        <v>38</v>
      </c>
      <c r="D89" t="s">
        <v>23</v>
      </c>
      <c r="E89" t="s">
        <v>39</v>
      </c>
      <c r="F89" t="s">
        <v>19</v>
      </c>
      <c r="G89" t="s">
        <v>147</v>
      </c>
      <c r="H89" s="5">
        <v>1</v>
      </c>
      <c r="I89" s="3">
        <v>38855</v>
      </c>
      <c r="J89" s="10">
        <v>0</v>
      </c>
      <c r="K89" s="2">
        <v>38855</v>
      </c>
      <c r="L89" s="2">
        <f>Raw_Sales_Data3[[#This Row],[Quantity]]*Raw_Sales_Data3[[#This Row],[Unit Price]]*(Raw_Sales_Data3[[#This Row],[Discount %]]/100)</f>
        <v>0</v>
      </c>
      <c r="M89" t="str">
        <f>IF(COUNTIF(Raw_Sales_Data3[Order ID],Raw_Sales_Data3[[#This Row],[Order ID]])&gt;1,"Duplicate Order ID","Unique Order ID")</f>
        <v>Unique Order ID</v>
      </c>
    </row>
    <row r="90" spans="1:13" x14ac:dyDescent="0.3">
      <c r="A90" t="s">
        <v>148</v>
      </c>
      <c r="B90" s="1">
        <v>46106</v>
      </c>
      <c r="C90" t="s">
        <v>22</v>
      </c>
      <c r="D90" t="s">
        <v>58</v>
      </c>
      <c r="E90" t="s">
        <v>13</v>
      </c>
      <c r="F90" t="s">
        <v>14</v>
      </c>
      <c r="G90" t="s">
        <v>103</v>
      </c>
      <c r="H90" s="5">
        <v>9</v>
      </c>
      <c r="I90" s="3">
        <v>36927</v>
      </c>
      <c r="J90" s="10">
        <v>0</v>
      </c>
      <c r="K90" s="2">
        <v>332343</v>
      </c>
      <c r="L90" s="2">
        <f>Raw_Sales_Data3[[#This Row],[Quantity]]*Raw_Sales_Data3[[#This Row],[Unit Price]]*(Raw_Sales_Data3[[#This Row],[Discount %]]/100)</f>
        <v>0</v>
      </c>
      <c r="M90" t="str">
        <f>IF(COUNTIF(Raw_Sales_Data3[Order ID],Raw_Sales_Data3[[#This Row],[Order ID]])&gt;1,"Duplicate Order ID","Unique Order ID")</f>
        <v>Unique Order ID</v>
      </c>
    </row>
    <row r="91" spans="1:13" x14ac:dyDescent="0.3">
      <c r="A91" t="s">
        <v>149</v>
      </c>
      <c r="B91" s="1">
        <v>46064</v>
      </c>
      <c r="C91" t="s">
        <v>123</v>
      </c>
      <c r="D91" t="s">
        <v>43</v>
      </c>
      <c r="E91" t="s">
        <v>34</v>
      </c>
      <c r="F91" t="s">
        <v>24</v>
      </c>
      <c r="G91" t="s">
        <v>77</v>
      </c>
      <c r="H91" s="5">
        <v>10</v>
      </c>
      <c r="I91" s="3">
        <v>3745</v>
      </c>
      <c r="J91" s="10">
        <v>5</v>
      </c>
      <c r="K91" s="2">
        <v>35577.5</v>
      </c>
      <c r="L91" s="2">
        <f>Raw_Sales_Data3[[#This Row],[Quantity]]*Raw_Sales_Data3[[#This Row],[Unit Price]]*(Raw_Sales_Data3[[#This Row],[Discount %]]/100)</f>
        <v>1872.5</v>
      </c>
      <c r="M91" t="str">
        <f>IF(COUNTIF(Raw_Sales_Data3[Order ID],Raw_Sales_Data3[[#This Row],[Order ID]])&gt;1,"Duplicate Order ID","Unique Order ID")</f>
        <v>Unique Order ID</v>
      </c>
    </row>
    <row r="92" spans="1:13" x14ac:dyDescent="0.3">
      <c r="A92" t="s">
        <v>150</v>
      </c>
      <c r="B92" s="1">
        <v>46067</v>
      </c>
      <c r="C92" t="s">
        <v>54</v>
      </c>
      <c r="D92" t="s">
        <v>70</v>
      </c>
      <c r="E92" t="s">
        <v>39</v>
      </c>
      <c r="F92" t="s">
        <v>19</v>
      </c>
      <c r="G92" t="s">
        <v>117</v>
      </c>
      <c r="H92" s="5">
        <v>5</v>
      </c>
      <c r="I92" s="3">
        <v>41494</v>
      </c>
      <c r="J92" s="10">
        <v>0</v>
      </c>
      <c r="K92" s="2">
        <v>207470</v>
      </c>
      <c r="L92" s="2">
        <f>Raw_Sales_Data3[[#This Row],[Quantity]]*Raw_Sales_Data3[[#This Row],[Unit Price]]*(Raw_Sales_Data3[[#This Row],[Discount %]]/100)</f>
        <v>0</v>
      </c>
      <c r="M92" t="str">
        <f>IF(COUNTIF(Raw_Sales_Data3[Order ID],Raw_Sales_Data3[[#This Row],[Order ID]])&gt;1,"Duplicate Order ID","Unique Order ID")</f>
        <v>Unique Order ID</v>
      </c>
    </row>
    <row r="93" spans="1:13" x14ac:dyDescent="0.3">
      <c r="A93" t="s">
        <v>151</v>
      </c>
      <c r="B93" s="1">
        <v>46038</v>
      </c>
      <c r="C93" t="s">
        <v>38</v>
      </c>
      <c r="D93" t="s">
        <v>70</v>
      </c>
      <c r="E93" t="s">
        <v>13</v>
      </c>
      <c r="F93" t="s">
        <v>14</v>
      </c>
      <c r="G93" t="s">
        <v>73</v>
      </c>
      <c r="H93" s="5">
        <v>10</v>
      </c>
      <c r="I93" s="3">
        <v>55543</v>
      </c>
      <c r="J93" s="10">
        <v>10</v>
      </c>
      <c r="K93" s="2">
        <v>499887</v>
      </c>
      <c r="L93" s="2">
        <f>Raw_Sales_Data3[[#This Row],[Quantity]]*Raw_Sales_Data3[[#This Row],[Unit Price]]*(Raw_Sales_Data3[[#This Row],[Discount %]]/100)</f>
        <v>55543</v>
      </c>
      <c r="M93" t="str">
        <f>IF(COUNTIF(Raw_Sales_Data3[Order ID],Raw_Sales_Data3[[#This Row],[Order ID]])&gt;1,"Duplicate Order ID","Unique Order ID")</f>
        <v>Unique Order ID</v>
      </c>
    </row>
    <row r="94" spans="1:13" x14ac:dyDescent="0.3">
      <c r="A94" t="s">
        <v>152</v>
      </c>
      <c r="B94" s="1">
        <v>46092</v>
      </c>
      <c r="C94" t="s">
        <v>50</v>
      </c>
      <c r="D94" t="s">
        <v>70</v>
      </c>
      <c r="E94" t="s">
        <v>28</v>
      </c>
      <c r="F94" t="s">
        <v>19</v>
      </c>
      <c r="G94" t="s">
        <v>1038</v>
      </c>
      <c r="H94" s="5">
        <v>3</v>
      </c>
      <c r="I94" s="3">
        <v>32773</v>
      </c>
      <c r="J94" s="10">
        <v>0</v>
      </c>
      <c r="K94" s="2">
        <v>98319</v>
      </c>
      <c r="L94" s="2">
        <f>Raw_Sales_Data3[[#This Row],[Quantity]]*Raw_Sales_Data3[[#This Row],[Unit Price]]*(Raw_Sales_Data3[[#This Row],[Discount %]]/100)</f>
        <v>0</v>
      </c>
      <c r="M94" t="str">
        <f>IF(COUNTIF(Raw_Sales_Data3[Order ID],Raw_Sales_Data3[[#This Row],[Order ID]])&gt;1,"Duplicate Order ID","Unique Order ID")</f>
        <v>Unique Order ID</v>
      </c>
    </row>
    <row r="95" spans="1:13" x14ac:dyDescent="0.3">
      <c r="A95" t="s">
        <v>153</v>
      </c>
      <c r="B95" s="1">
        <v>46080</v>
      </c>
      <c r="C95" t="s">
        <v>91</v>
      </c>
      <c r="D95" t="s">
        <v>23</v>
      </c>
      <c r="E95" t="s">
        <v>13</v>
      </c>
      <c r="F95" t="s">
        <v>14</v>
      </c>
      <c r="G95" t="s">
        <v>98</v>
      </c>
      <c r="H95" s="5">
        <v>9</v>
      </c>
      <c r="I95" s="3">
        <v>680</v>
      </c>
      <c r="J95" s="10">
        <v>0</v>
      </c>
      <c r="K95" s="2">
        <v>6120</v>
      </c>
      <c r="L95" s="2">
        <f>Raw_Sales_Data3[[#This Row],[Quantity]]*Raw_Sales_Data3[[#This Row],[Unit Price]]*(Raw_Sales_Data3[[#This Row],[Discount %]]/100)</f>
        <v>0</v>
      </c>
      <c r="M95" t="str">
        <f>IF(COUNTIF(Raw_Sales_Data3[Order ID],Raw_Sales_Data3[[#This Row],[Order ID]])&gt;1,"Duplicate Order ID","Unique Order ID")</f>
        <v>Unique Order ID</v>
      </c>
    </row>
    <row r="96" spans="1:13" x14ac:dyDescent="0.3">
      <c r="A96" t="s">
        <v>154</v>
      </c>
      <c r="B96" s="1">
        <v>46079</v>
      </c>
      <c r="C96" t="s">
        <v>42</v>
      </c>
      <c r="D96" t="s">
        <v>23</v>
      </c>
      <c r="E96" t="s">
        <v>34</v>
      </c>
      <c r="F96" t="s">
        <v>24</v>
      </c>
      <c r="G96" t="s">
        <v>55</v>
      </c>
      <c r="H96" s="5">
        <v>12</v>
      </c>
      <c r="I96" s="3">
        <v>55652</v>
      </c>
      <c r="J96" s="10">
        <v>5</v>
      </c>
      <c r="K96" s="2">
        <v>634432.80000000005</v>
      </c>
      <c r="L96" s="2">
        <f>Raw_Sales_Data3[[#This Row],[Quantity]]*Raw_Sales_Data3[[#This Row],[Unit Price]]*(Raw_Sales_Data3[[#This Row],[Discount %]]/100)</f>
        <v>33391.200000000004</v>
      </c>
      <c r="M96" t="str">
        <f>IF(COUNTIF(Raw_Sales_Data3[Order ID],Raw_Sales_Data3[[#This Row],[Order ID]])&gt;1,"Duplicate Order ID","Unique Order ID")</f>
        <v>Unique Order ID</v>
      </c>
    </row>
    <row r="97" spans="1:13" x14ac:dyDescent="0.3">
      <c r="A97" t="s">
        <v>155</v>
      </c>
      <c r="B97" s="1">
        <v>46077</v>
      </c>
      <c r="C97" t="s">
        <v>50</v>
      </c>
      <c r="D97" t="s">
        <v>23</v>
      </c>
      <c r="E97" t="s">
        <v>13</v>
      </c>
      <c r="F97" t="s">
        <v>14</v>
      </c>
      <c r="G97" t="s">
        <v>156</v>
      </c>
      <c r="H97" s="5">
        <v>5</v>
      </c>
      <c r="I97" s="3">
        <v>22851</v>
      </c>
      <c r="J97" s="10">
        <v>5</v>
      </c>
      <c r="K97" s="2">
        <v>108542.25</v>
      </c>
      <c r="L97" s="2">
        <f>Raw_Sales_Data3[[#This Row],[Quantity]]*Raw_Sales_Data3[[#This Row],[Unit Price]]*(Raw_Sales_Data3[[#This Row],[Discount %]]/100)</f>
        <v>5712.75</v>
      </c>
      <c r="M97" t="str">
        <f>IF(COUNTIF(Raw_Sales_Data3[Order ID],Raw_Sales_Data3[[#This Row],[Order ID]])&gt;1,"Duplicate Order ID","Unique Order ID")</f>
        <v>Unique Order ID</v>
      </c>
    </row>
    <row r="98" spans="1:13" x14ac:dyDescent="0.3">
      <c r="A98" t="s">
        <v>157</v>
      </c>
      <c r="B98" s="1">
        <v>46071</v>
      </c>
      <c r="C98" t="s">
        <v>69</v>
      </c>
      <c r="D98" t="s">
        <v>70</v>
      </c>
      <c r="E98" t="s">
        <v>13</v>
      </c>
      <c r="F98" t="s">
        <v>19</v>
      </c>
      <c r="G98" t="s">
        <v>147</v>
      </c>
      <c r="H98" s="5">
        <v>10</v>
      </c>
      <c r="I98" s="3">
        <v>26525</v>
      </c>
      <c r="J98" s="10">
        <v>20</v>
      </c>
      <c r="K98" s="2">
        <v>212200</v>
      </c>
      <c r="L98" s="2">
        <f>Raw_Sales_Data3[[#This Row],[Quantity]]*Raw_Sales_Data3[[#This Row],[Unit Price]]*(Raw_Sales_Data3[[#This Row],[Discount %]]/100)</f>
        <v>53050</v>
      </c>
      <c r="M98" t="str">
        <f>IF(COUNTIF(Raw_Sales_Data3[Order ID],Raw_Sales_Data3[[#This Row],[Order ID]])&gt;1,"Duplicate Order ID","Unique Order ID")</f>
        <v>Unique Order ID</v>
      </c>
    </row>
    <row r="99" spans="1:13" x14ac:dyDescent="0.3">
      <c r="A99" t="s">
        <v>158</v>
      </c>
      <c r="B99" s="1">
        <v>46054</v>
      </c>
      <c r="C99" t="s">
        <v>45</v>
      </c>
      <c r="D99" t="s">
        <v>23</v>
      </c>
      <c r="E99" t="s">
        <v>34</v>
      </c>
      <c r="F99" t="s">
        <v>19</v>
      </c>
      <c r="G99" t="s">
        <v>147</v>
      </c>
      <c r="H99" s="5">
        <v>8</v>
      </c>
      <c r="I99" s="3">
        <v>43083</v>
      </c>
      <c r="J99" s="10">
        <v>10</v>
      </c>
      <c r="K99" s="2">
        <v>310197.59999999998</v>
      </c>
      <c r="L99" s="2">
        <f>Raw_Sales_Data3[[#This Row],[Quantity]]*Raw_Sales_Data3[[#This Row],[Unit Price]]*(Raw_Sales_Data3[[#This Row],[Discount %]]/100)</f>
        <v>34466.400000000001</v>
      </c>
      <c r="M99" t="str">
        <f>IF(COUNTIF(Raw_Sales_Data3[Order ID],Raw_Sales_Data3[[#This Row],[Order ID]])&gt;1,"Duplicate Order ID","Unique Order ID")</f>
        <v>Unique Order ID</v>
      </c>
    </row>
    <row r="100" spans="1:13" x14ac:dyDescent="0.3">
      <c r="A100" t="s">
        <v>159</v>
      </c>
      <c r="B100" s="1">
        <v>46059</v>
      </c>
      <c r="C100" t="s">
        <v>123</v>
      </c>
      <c r="D100" t="s">
        <v>70</v>
      </c>
      <c r="E100" t="s">
        <v>28</v>
      </c>
      <c r="F100" t="s">
        <v>19</v>
      </c>
      <c r="G100" t="s">
        <v>147</v>
      </c>
      <c r="H100" s="5">
        <v>5</v>
      </c>
      <c r="I100" s="3">
        <v>38705</v>
      </c>
      <c r="J100" s="10">
        <v>10</v>
      </c>
      <c r="K100" s="2">
        <v>174172.5</v>
      </c>
      <c r="L100" s="2">
        <f>Raw_Sales_Data3[[#This Row],[Quantity]]*Raw_Sales_Data3[[#This Row],[Unit Price]]*(Raw_Sales_Data3[[#This Row],[Discount %]]/100)</f>
        <v>19352.5</v>
      </c>
      <c r="M100" t="str">
        <f>IF(COUNTIF(Raw_Sales_Data3[Order ID],Raw_Sales_Data3[[#This Row],[Order ID]])&gt;1,"Duplicate Order ID","Unique Order ID")</f>
        <v>Unique Order ID</v>
      </c>
    </row>
    <row r="101" spans="1:13" x14ac:dyDescent="0.3">
      <c r="A101" t="s">
        <v>160</v>
      </c>
      <c r="B101" s="1">
        <v>46105</v>
      </c>
      <c r="C101" t="s">
        <v>27</v>
      </c>
      <c r="D101" t="s">
        <v>23</v>
      </c>
      <c r="E101" t="s">
        <v>39</v>
      </c>
      <c r="F101" t="s">
        <v>24</v>
      </c>
      <c r="G101" t="s">
        <v>71</v>
      </c>
      <c r="H101" s="5">
        <v>5</v>
      </c>
      <c r="I101" s="3">
        <v>28022</v>
      </c>
      <c r="J101" s="10">
        <v>20</v>
      </c>
      <c r="K101" s="2">
        <v>112088</v>
      </c>
      <c r="L101" s="2">
        <f>Raw_Sales_Data3[[#This Row],[Quantity]]*Raw_Sales_Data3[[#This Row],[Unit Price]]*(Raw_Sales_Data3[[#This Row],[Discount %]]/100)</f>
        <v>28022</v>
      </c>
      <c r="M101" t="str">
        <f>IF(COUNTIF(Raw_Sales_Data3[Order ID],Raw_Sales_Data3[[#This Row],[Order ID]])&gt;1,"Duplicate Order ID","Unique Order ID")</f>
        <v>Unique Order ID</v>
      </c>
    </row>
    <row r="102" spans="1:13" x14ac:dyDescent="0.3">
      <c r="A102" t="s">
        <v>161</v>
      </c>
      <c r="B102" s="1">
        <v>46049</v>
      </c>
      <c r="C102" t="s">
        <v>36</v>
      </c>
      <c r="D102" t="s">
        <v>70</v>
      </c>
      <c r="E102" t="s">
        <v>28</v>
      </c>
      <c r="F102" t="s">
        <v>24</v>
      </c>
      <c r="G102" t="s">
        <v>25</v>
      </c>
      <c r="H102" s="5">
        <v>12</v>
      </c>
      <c r="I102" s="3">
        <v>48606</v>
      </c>
      <c r="J102" s="10">
        <v>10</v>
      </c>
      <c r="K102" s="2">
        <v>524944.80000000005</v>
      </c>
      <c r="L102" s="2">
        <f>Raw_Sales_Data3[[#This Row],[Quantity]]*Raw_Sales_Data3[[#This Row],[Unit Price]]*(Raw_Sales_Data3[[#This Row],[Discount %]]/100)</f>
        <v>58327.200000000004</v>
      </c>
      <c r="M102" t="str">
        <f>IF(COUNTIF(Raw_Sales_Data3[Order ID],Raw_Sales_Data3[[#This Row],[Order ID]])&gt;1,"Duplicate Order ID","Unique Order ID")</f>
        <v>Unique Order ID</v>
      </c>
    </row>
    <row r="103" spans="1:13" x14ac:dyDescent="0.3">
      <c r="A103" t="s">
        <v>162</v>
      </c>
      <c r="B103" s="1">
        <v>46052</v>
      </c>
      <c r="C103" t="s">
        <v>54</v>
      </c>
      <c r="D103" t="s">
        <v>58</v>
      </c>
      <c r="E103" t="s">
        <v>39</v>
      </c>
      <c r="F103" t="s">
        <v>14</v>
      </c>
      <c r="G103" t="s">
        <v>156</v>
      </c>
      <c r="H103" s="5">
        <v>3</v>
      </c>
      <c r="I103" s="3">
        <v>48788</v>
      </c>
      <c r="J103" s="10">
        <v>5</v>
      </c>
      <c r="K103" s="2">
        <v>139045.79999999999</v>
      </c>
      <c r="L103" s="2">
        <f>Raw_Sales_Data3[[#This Row],[Quantity]]*Raw_Sales_Data3[[#This Row],[Unit Price]]*(Raw_Sales_Data3[[#This Row],[Discount %]]/100)</f>
        <v>7318.2000000000007</v>
      </c>
      <c r="M103" t="str">
        <f>IF(COUNTIF(Raw_Sales_Data3[Order ID],Raw_Sales_Data3[[#This Row],[Order ID]])&gt;1,"Duplicate Order ID","Unique Order ID")</f>
        <v>Unique Order ID</v>
      </c>
    </row>
    <row r="104" spans="1:13" x14ac:dyDescent="0.3">
      <c r="A104" t="s">
        <v>163</v>
      </c>
      <c r="B104" s="1">
        <v>46052</v>
      </c>
      <c r="C104" t="s">
        <v>69</v>
      </c>
      <c r="D104" t="s">
        <v>43</v>
      </c>
      <c r="E104" t="s">
        <v>13</v>
      </c>
      <c r="F104" t="s">
        <v>19</v>
      </c>
      <c r="G104" t="s">
        <v>120</v>
      </c>
      <c r="H104" s="5">
        <v>1</v>
      </c>
      <c r="I104" s="3">
        <v>4591</v>
      </c>
      <c r="J104" s="10">
        <v>10</v>
      </c>
      <c r="K104" s="2">
        <v>4131.8999999999996</v>
      </c>
      <c r="L104" s="2">
        <f>Raw_Sales_Data3[[#This Row],[Quantity]]*Raw_Sales_Data3[[#This Row],[Unit Price]]*(Raw_Sales_Data3[[#This Row],[Discount %]]/100)</f>
        <v>459.1</v>
      </c>
      <c r="M104" t="str">
        <f>IF(COUNTIF(Raw_Sales_Data3[Order ID],Raw_Sales_Data3[[#This Row],[Order ID]])&gt;1,"Duplicate Order ID","Unique Order ID")</f>
        <v>Unique Order ID</v>
      </c>
    </row>
    <row r="105" spans="1:13" x14ac:dyDescent="0.3">
      <c r="A105" t="s">
        <v>164</v>
      </c>
      <c r="B105" s="1">
        <v>46102</v>
      </c>
      <c r="C105" t="s">
        <v>36</v>
      </c>
      <c r="D105" t="s">
        <v>70</v>
      </c>
      <c r="E105" t="s">
        <v>13</v>
      </c>
      <c r="F105" t="s">
        <v>19</v>
      </c>
      <c r="G105" t="s">
        <v>117</v>
      </c>
      <c r="H105" s="5">
        <v>1</v>
      </c>
      <c r="I105" s="3">
        <v>4681</v>
      </c>
      <c r="J105" s="10">
        <v>0</v>
      </c>
      <c r="K105" s="2">
        <v>4681</v>
      </c>
      <c r="L105" s="2">
        <f>Raw_Sales_Data3[[#This Row],[Quantity]]*Raw_Sales_Data3[[#This Row],[Unit Price]]*(Raw_Sales_Data3[[#This Row],[Discount %]]/100)</f>
        <v>0</v>
      </c>
      <c r="M105" t="str">
        <f>IF(COUNTIF(Raw_Sales_Data3[Order ID],Raw_Sales_Data3[[#This Row],[Order ID]])&gt;1,"Duplicate Order ID","Unique Order ID")</f>
        <v>Unique Order ID</v>
      </c>
    </row>
    <row r="106" spans="1:13" x14ac:dyDescent="0.3">
      <c r="A106" t="s">
        <v>165</v>
      </c>
      <c r="B106" s="1">
        <v>46045</v>
      </c>
      <c r="C106" t="s">
        <v>62</v>
      </c>
      <c r="D106" t="s">
        <v>70</v>
      </c>
      <c r="E106" t="s">
        <v>28</v>
      </c>
      <c r="F106" t="s">
        <v>19</v>
      </c>
      <c r="G106" t="s">
        <v>40</v>
      </c>
      <c r="H106" s="5">
        <v>4</v>
      </c>
      <c r="I106" s="3">
        <v>30373</v>
      </c>
      <c r="J106" s="10">
        <v>10</v>
      </c>
      <c r="K106" s="2">
        <v>109342.8</v>
      </c>
      <c r="L106" s="2">
        <f>Raw_Sales_Data3[[#This Row],[Quantity]]*Raw_Sales_Data3[[#This Row],[Unit Price]]*(Raw_Sales_Data3[[#This Row],[Discount %]]/100)</f>
        <v>12149.2</v>
      </c>
      <c r="M106" t="str">
        <f>IF(COUNTIF(Raw_Sales_Data3[Order ID],Raw_Sales_Data3[[#This Row],[Order ID]])&gt;1,"Duplicate Order ID","Unique Order ID")</f>
        <v>Unique Order ID</v>
      </c>
    </row>
    <row r="107" spans="1:13" x14ac:dyDescent="0.3">
      <c r="A107" t="s">
        <v>166</v>
      </c>
      <c r="B107" s="1">
        <v>46031</v>
      </c>
      <c r="C107" t="s">
        <v>12</v>
      </c>
      <c r="D107" t="s">
        <v>58</v>
      </c>
      <c r="E107" t="s">
        <v>28</v>
      </c>
      <c r="F107" t="s">
        <v>19</v>
      </c>
      <c r="G107" t="s">
        <v>46</v>
      </c>
      <c r="H107" s="5">
        <v>14</v>
      </c>
      <c r="I107" s="3">
        <v>29465</v>
      </c>
      <c r="J107" s="10">
        <v>10</v>
      </c>
      <c r="K107" s="2">
        <v>371259</v>
      </c>
      <c r="L107" s="2">
        <f>Raw_Sales_Data3[[#This Row],[Quantity]]*Raw_Sales_Data3[[#This Row],[Unit Price]]*(Raw_Sales_Data3[[#This Row],[Discount %]]/100)</f>
        <v>41251</v>
      </c>
      <c r="M107" t="str">
        <f>IF(COUNTIF(Raw_Sales_Data3[Order ID],Raw_Sales_Data3[[#This Row],[Order ID]])&gt;1,"Duplicate Order ID","Unique Order ID")</f>
        <v>Unique Order ID</v>
      </c>
    </row>
    <row r="108" spans="1:13" x14ac:dyDescent="0.3">
      <c r="A108" t="s">
        <v>167</v>
      </c>
      <c r="B108" s="1">
        <v>46092</v>
      </c>
      <c r="C108" t="s">
        <v>17</v>
      </c>
      <c r="D108" t="s">
        <v>23</v>
      </c>
      <c r="E108" t="s">
        <v>34</v>
      </c>
      <c r="F108" t="s">
        <v>19</v>
      </c>
      <c r="G108" t="s">
        <v>147</v>
      </c>
      <c r="H108" s="5">
        <v>6</v>
      </c>
      <c r="I108" s="3">
        <v>55600</v>
      </c>
      <c r="J108" s="10">
        <v>0</v>
      </c>
      <c r="K108" s="2">
        <v>333600</v>
      </c>
      <c r="L108" s="2">
        <f>Raw_Sales_Data3[[#This Row],[Quantity]]*Raw_Sales_Data3[[#This Row],[Unit Price]]*(Raw_Sales_Data3[[#This Row],[Discount %]]/100)</f>
        <v>0</v>
      </c>
      <c r="M108" t="str">
        <f>IF(COUNTIF(Raw_Sales_Data3[Order ID],Raw_Sales_Data3[[#This Row],[Order ID]])&gt;1,"Duplicate Order ID","Unique Order ID")</f>
        <v>Unique Order ID</v>
      </c>
    </row>
    <row r="109" spans="1:13" x14ac:dyDescent="0.3">
      <c r="A109" t="s">
        <v>168</v>
      </c>
      <c r="B109" s="1">
        <v>46073</v>
      </c>
      <c r="C109" t="s">
        <v>33</v>
      </c>
      <c r="D109" t="s">
        <v>43</v>
      </c>
      <c r="E109" t="s">
        <v>18</v>
      </c>
      <c r="F109" t="s">
        <v>14</v>
      </c>
      <c r="G109" t="s">
        <v>156</v>
      </c>
      <c r="H109" s="5">
        <v>8</v>
      </c>
      <c r="I109" s="3">
        <v>28357</v>
      </c>
      <c r="J109" s="10">
        <v>5</v>
      </c>
      <c r="K109" s="2">
        <v>215513.2</v>
      </c>
      <c r="L109" s="2">
        <f>Raw_Sales_Data3[[#This Row],[Quantity]]*Raw_Sales_Data3[[#This Row],[Unit Price]]*(Raw_Sales_Data3[[#This Row],[Discount %]]/100)</f>
        <v>11342.800000000001</v>
      </c>
      <c r="M109" t="str">
        <f>IF(COUNTIF(Raw_Sales_Data3[Order ID],Raw_Sales_Data3[[#This Row],[Order ID]])&gt;1,"Duplicate Order ID","Unique Order ID")</f>
        <v>Unique Order ID</v>
      </c>
    </row>
    <row r="110" spans="1:13" x14ac:dyDescent="0.3">
      <c r="A110" t="s">
        <v>169</v>
      </c>
      <c r="B110" s="1">
        <v>46063</v>
      </c>
      <c r="C110" t="s">
        <v>64</v>
      </c>
      <c r="D110" t="s">
        <v>58</v>
      </c>
      <c r="E110" t="s">
        <v>34</v>
      </c>
      <c r="F110" t="s">
        <v>19</v>
      </c>
      <c r="G110" t="s">
        <v>1038</v>
      </c>
      <c r="H110" s="5">
        <v>4</v>
      </c>
      <c r="I110" s="3">
        <v>20955</v>
      </c>
      <c r="J110" s="10">
        <v>10</v>
      </c>
      <c r="K110" s="2">
        <v>75438</v>
      </c>
      <c r="L110" s="2">
        <f>Raw_Sales_Data3[[#This Row],[Quantity]]*Raw_Sales_Data3[[#This Row],[Unit Price]]*(Raw_Sales_Data3[[#This Row],[Discount %]]/100)</f>
        <v>8382</v>
      </c>
      <c r="M110" t="str">
        <f>IF(COUNTIF(Raw_Sales_Data3[Order ID],Raw_Sales_Data3[[#This Row],[Order ID]])&gt;1,"Duplicate Order ID","Unique Order ID")</f>
        <v>Unique Order ID</v>
      </c>
    </row>
    <row r="111" spans="1:13" x14ac:dyDescent="0.3">
      <c r="A111" t="s">
        <v>170</v>
      </c>
      <c r="B111" s="1">
        <v>46056</v>
      </c>
      <c r="C111" t="s">
        <v>22</v>
      </c>
      <c r="D111" t="s">
        <v>43</v>
      </c>
      <c r="E111" t="s">
        <v>34</v>
      </c>
      <c r="F111" t="s">
        <v>19</v>
      </c>
      <c r="G111" t="s">
        <v>120</v>
      </c>
      <c r="H111" s="5">
        <v>11</v>
      </c>
      <c r="I111" s="3">
        <v>57933</v>
      </c>
      <c r="J111" s="10">
        <v>0</v>
      </c>
      <c r="K111" s="2">
        <v>637263</v>
      </c>
      <c r="L111" s="2">
        <f>Raw_Sales_Data3[[#This Row],[Quantity]]*Raw_Sales_Data3[[#This Row],[Unit Price]]*(Raw_Sales_Data3[[#This Row],[Discount %]]/100)</f>
        <v>0</v>
      </c>
      <c r="M111" t="str">
        <f>IF(COUNTIF(Raw_Sales_Data3[Order ID],Raw_Sales_Data3[[#This Row],[Order ID]])&gt;1,"Duplicate Order ID","Unique Order ID")</f>
        <v>Unique Order ID</v>
      </c>
    </row>
    <row r="112" spans="1:13" x14ac:dyDescent="0.3">
      <c r="A112" t="s">
        <v>171</v>
      </c>
      <c r="B112" s="1">
        <v>46054</v>
      </c>
      <c r="C112" t="s">
        <v>50</v>
      </c>
      <c r="D112" t="s">
        <v>70</v>
      </c>
      <c r="E112" t="s">
        <v>28</v>
      </c>
      <c r="F112" t="s">
        <v>19</v>
      </c>
      <c r="G112" t="s">
        <v>20</v>
      </c>
      <c r="H112" s="5">
        <v>12</v>
      </c>
      <c r="I112" s="3">
        <v>24406</v>
      </c>
      <c r="J112" s="10">
        <v>0</v>
      </c>
      <c r="K112" s="2">
        <v>292872</v>
      </c>
      <c r="L112" s="2">
        <f>Raw_Sales_Data3[[#This Row],[Quantity]]*Raw_Sales_Data3[[#This Row],[Unit Price]]*(Raw_Sales_Data3[[#This Row],[Discount %]]/100)</f>
        <v>0</v>
      </c>
      <c r="M112" t="str">
        <f>IF(COUNTIF(Raw_Sales_Data3[Order ID],Raw_Sales_Data3[[#This Row],[Order ID]])&gt;1,"Duplicate Order ID","Unique Order ID")</f>
        <v>Unique Order ID</v>
      </c>
    </row>
    <row r="113" spans="1:13" x14ac:dyDescent="0.3">
      <c r="A113" t="s">
        <v>172</v>
      </c>
      <c r="B113" s="1">
        <v>46026</v>
      </c>
      <c r="C113" t="s">
        <v>123</v>
      </c>
      <c r="D113" t="s">
        <v>43</v>
      </c>
      <c r="E113" t="s">
        <v>34</v>
      </c>
      <c r="F113" t="s">
        <v>24</v>
      </c>
      <c r="G113" t="s">
        <v>71</v>
      </c>
      <c r="H113" s="5">
        <v>1</v>
      </c>
      <c r="I113" s="3">
        <v>15171</v>
      </c>
      <c r="J113" s="10">
        <v>0</v>
      </c>
      <c r="K113" s="2">
        <v>15171</v>
      </c>
      <c r="L113" s="2">
        <f>Raw_Sales_Data3[[#This Row],[Quantity]]*Raw_Sales_Data3[[#This Row],[Unit Price]]*(Raw_Sales_Data3[[#This Row],[Discount %]]/100)</f>
        <v>0</v>
      </c>
      <c r="M113" t="str">
        <f>IF(COUNTIF(Raw_Sales_Data3[Order ID],Raw_Sales_Data3[[#This Row],[Order ID]])&gt;1,"Duplicate Order ID","Unique Order ID")</f>
        <v>Unique Order ID</v>
      </c>
    </row>
    <row r="114" spans="1:13" x14ac:dyDescent="0.3">
      <c r="A114" t="s">
        <v>173</v>
      </c>
      <c r="B114" s="1">
        <v>46042</v>
      </c>
      <c r="C114" t="s">
        <v>42</v>
      </c>
      <c r="D114" t="s">
        <v>23</v>
      </c>
      <c r="E114" t="s">
        <v>39</v>
      </c>
      <c r="F114" t="s">
        <v>24</v>
      </c>
      <c r="G114" t="s">
        <v>25</v>
      </c>
      <c r="H114" s="5">
        <v>7</v>
      </c>
      <c r="I114" s="3">
        <f>K114/H114</f>
        <v>50572.450000000004</v>
      </c>
      <c r="J114" s="10">
        <v>15</v>
      </c>
      <c r="K114" s="2">
        <v>354007.15</v>
      </c>
      <c r="L114" s="2">
        <f>Raw_Sales_Data3[[#This Row],[Quantity]]*Raw_Sales_Data3[[#This Row],[Unit Price]]*(Raw_Sales_Data3[[#This Row],[Discount %]]/100)</f>
        <v>53101.072500000002</v>
      </c>
      <c r="M114" t="str">
        <f>IF(COUNTIF(Raw_Sales_Data3[Order ID],Raw_Sales_Data3[[#This Row],[Order ID]])&gt;1,"Duplicate Order ID","Unique Order ID")</f>
        <v>Unique Order ID</v>
      </c>
    </row>
    <row r="115" spans="1:13" x14ac:dyDescent="0.3">
      <c r="A115" t="s">
        <v>174</v>
      </c>
      <c r="B115" s="1">
        <v>46075</v>
      </c>
      <c r="C115" t="s">
        <v>36</v>
      </c>
      <c r="D115" t="s">
        <v>58</v>
      </c>
      <c r="E115" t="s">
        <v>34</v>
      </c>
      <c r="F115" t="s">
        <v>19</v>
      </c>
      <c r="G115" t="s">
        <v>59</v>
      </c>
      <c r="H115" s="5">
        <v>15</v>
      </c>
      <c r="I115" s="3">
        <v>27785</v>
      </c>
      <c r="J115" s="10">
        <v>0</v>
      </c>
      <c r="K115" s="2">
        <v>416775</v>
      </c>
      <c r="L115" s="2">
        <f>Raw_Sales_Data3[[#This Row],[Quantity]]*Raw_Sales_Data3[[#This Row],[Unit Price]]*(Raw_Sales_Data3[[#This Row],[Discount %]]/100)</f>
        <v>0</v>
      </c>
      <c r="M115" t="str">
        <f>IF(COUNTIF(Raw_Sales_Data3[Order ID],Raw_Sales_Data3[[#This Row],[Order ID]])&gt;1,"Duplicate Order ID","Unique Order ID")</f>
        <v>Unique Order ID</v>
      </c>
    </row>
    <row r="116" spans="1:13" x14ac:dyDescent="0.3">
      <c r="A116" t="s">
        <v>175</v>
      </c>
      <c r="B116" s="1">
        <v>46056</v>
      </c>
      <c r="C116" t="s">
        <v>22</v>
      </c>
      <c r="D116" t="s">
        <v>58</v>
      </c>
      <c r="E116" t="s">
        <v>34</v>
      </c>
      <c r="F116" t="s">
        <v>24</v>
      </c>
      <c r="G116" t="s">
        <v>53</v>
      </c>
      <c r="H116" s="5">
        <v>10</v>
      </c>
      <c r="I116" s="3">
        <v>56337</v>
      </c>
      <c r="J116" s="10">
        <v>10</v>
      </c>
      <c r="K116" s="2">
        <v>507033</v>
      </c>
      <c r="L116" s="2">
        <f>Raw_Sales_Data3[[#This Row],[Quantity]]*Raw_Sales_Data3[[#This Row],[Unit Price]]*(Raw_Sales_Data3[[#This Row],[Discount %]]/100)</f>
        <v>56337</v>
      </c>
      <c r="M116" t="str">
        <f>IF(COUNTIF(Raw_Sales_Data3[Order ID],Raw_Sales_Data3[[#This Row],[Order ID]])&gt;1,"Duplicate Order ID","Unique Order ID")</f>
        <v>Unique Order ID</v>
      </c>
    </row>
    <row r="117" spans="1:13" x14ac:dyDescent="0.3">
      <c r="A117" t="s">
        <v>176</v>
      </c>
      <c r="B117" s="1">
        <v>46043</v>
      </c>
      <c r="C117" t="s">
        <v>50</v>
      </c>
      <c r="D117" t="s">
        <v>23</v>
      </c>
      <c r="E117" t="s">
        <v>34</v>
      </c>
      <c r="F117" t="s">
        <v>14</v>
      </c>
      <c r="G117" t="s">
        <v>15</v>
      </c>
      <c r="H117" s="5">
        <v>15</v>
      </c>
      <c r="I117" s="3">
        <v>18771</v>
      </c>
      <c r="J117" s="10">
        <v>10</v>
      </c>
      <c r="K117" s="2">
        <v>253408.5</v>
      </c>
      <c r="L117" s="2">
        <f>Raw_Sales_Data3[[#This Row],[Quantity]]*Raw_Sales_Data3[[#This Row],[Unit Price]]*(Raw_Sales_Data3[[#This Row],[Discount %]]/100)</f>
        <v>28156.5</v>
      </c>
      <c r="M117" t="str">
        <f>IF(COUNTIF(Raw_Sales_Data3[Order ID],Raw_Sales_Data3[[#This Row],[Order ID]])&gt;1,"Duplicate Order ID","Unique Order ID")</f>
        <v>Unique Order ID</v>
      </c>
    </row>
    <row r="118" spans="1:13" x14ac:dyDescent="0.3">
      <c r="A118" t="s">
        <v>177</v>
      </c>
      <c r="B118" s="1">
        <v>46036</v>
      </c>
      <c r="C118" t="s">
        <v>33</v>
      </c>
      <c r="D118" t="s">
        <v>58</v>
      </c>
      <c r="E118" t="s">
        <v>34</v>
      </c>
      <c r="F118" t="s">
        <v>19</v>
      </c>
      <c r="G118" t="s">
        <v>40</v>
      </c>
      <c r="H118" s="5">
        <v>15</v>
      </c>
      <c r="I118" s="3">
        <v>15751</v>
      </c>
      <c r="J118" s="10">
        <v>15</v>
      </c>
      <c r="K118" s="2">
        <v>200825.25</v>
      </c>
      <c r="L118" s="2">
        <f>Raw_Sales_Data3[[#This Row],[Quantity]]*Raw_Sales_Data3[[#This Row],[Unit Price]]*(Raw_Sales_Data3[[#This Row],[Discount %]]/100)</f>
        <v>35439.75</v>
      </c>
      <c r="M118" t="str">
        <f>IF(COUNTIF(Raw_Sales_Data3[Order ID],Raw_Sales_Data3[[#This Row],[Order ID]])&gt;1,"Duplicate Order ID","Unique Order ID")</f>
        <v>Unique Order ID</v>
      </c>
    </row>
    <row r="119" spans="1:13" x14ac:dyDescent="0.3">
      <c r="A119" t="s">
        <v>178</v>
      </c>
      <c r="B119" s="1">
        <v>46072</v>
      </c>
      <c r="C119" t="s">
        <v>36</v>
      </c>
      <c r="D119" t="s">
        <v>70</v>
      </c>
      <c r="E119" t="s">
        <v>34</v>
      </c>
      <c r="F119" t="s">
        <v>19</v>
      </c>
      <c r="G119" t="s">
        <v>117</v>
      </c>
      <c r="H119" s="5">
        <v>5</v>
      </c>
      <c r="I119" s="3">
        <v>29965</v>
      </c>
      <c r="J119" s="10">
        <v>10</v>
      </c>
      <c r="K119" s="2">
        <v>134842.5</v>
      </c>
      <c r="L119" s="2">
        <f>Raw_Sales_Data3[[#This Row],[Quantity]]*Raw_Sales_Data3[[#This Row],[Unit Price]]*(Raw_Sales_Data3[[#This Row],[Discount %]]/100)</f>
        <v>14982.5</v>
      </c>
      <c r="M119" t="str">
        <f>IF(COUNTIF(Raw_Sales_Data3[Order ID],Raw_Sales_Data3[[#This Row],[Order ID]])&gt;1,"Duplicate Order ID","Unique Order ID")</f>
        <v>Unique Order ID</v>
      </c>
    </row>
    <row r="120" spans="1:13" x14ac:dyDescent="0.3">
      <c r="A120" t="s">
        <v>179</v>
      </c>
      <c r="B120" s="1">
        <v>46066</v>
      </c>
      <c r="C120" t="s">
        <v>42</v>
      </c>
      <c r="D120" t="s">
        <v>23</v>
      </c>
      <c r="E120" t="s">
        <v>39</v>
      </c>
      <c r="F120" t="s">
        <v>19</v>
      </c>
      <c r="G120" t="s">
        <v>46</v>
      </c>
      <c r="H120" s="5">
        <v>4</v>
      </c>
      <c r="I120" s="3">
        <v>31391</v>
      </c>
      <c r="J120" s="10">
        <v>20</v>
      </c>
      <c r="K120" s="2">
        <v>100451.2</v>
      </c>
      <c r="L120" s="2">
        <f>Raw_Sales_Data3[[#This Row],[Quantity]]*Raw_Sales_Data3[[#This Row],[Unit Price]]*(Raw_Sales_Data3[[#This Row],[Discount %]]/100)</f>
        <v>25112.800000000003</v>
      </c>
      <c r="M120" t="str">
        <f>IF(COUNTIF(Raw_Sales_Data3[Order ID],Raw_Sales_Data3[[#This Row],[Order ID]])&gt;1,"Duplicate Order ID","Unique Order ID")</f>
        <v>Duplicate Order ID</v>
      </c>
    </row>
    <row r="121" spans="1:13" x14ac:dyDescent="0.3">
      <c r="A121" t="s">
        <v>179</v>
      </c>
      <c r="B121" s="1">
        <v>46053</v>
      </c>
      <c r="C121" t="s">
        <v>89</v>
      </c>
      <c r="D121" t="s">
        <v>58</v>
      </c>
      <c r="E121" t="s">
        <v>18</v>
      </c>
      <c r="F121" t="s">
        <v>24</v>
      </c>
      <c r="G121" t="s">
        <v>25</v>
      </c>
      <c r="H121" s="5">
        <v>4</v>
      </c>
      <c r="I121" s="3">
        <v>48745</v>
      </c>
      <c r="J121" s="10">
        <v>0</v>
      </c>
      <c r="K121" s="2">
        <v>194980</v>
      </c>
      <c r="L121" s="2">
        <f>Raw_Sales_Data3[[#This Row],[Quantity]]*Raw_Sales_Data3[[#This Row],[Unit Price]]*(Raw_Sales_Data3[[#This Row],[Discount %]]/100)</f>
        <v>0</v>
      </c>
      <c r="M121" t="str">
        <f>IF(COUNTIF(Raw_Sales_Data3[Order ID],Raw_Sales_Data3[[#This Row],[Order ID]])&gt;1,"Duplicate Order ID","Unique Order ID")</f>
        <v>Duplicate Order ID</v>
      </c>
    </row>
    <row r="122" spans="1:13" x14ac:dyDescent="0.3">
      <c r="A122" t="s">
        <v>180</v>
      </c>
      <c r="B122" s="1">
        <v>46037</v>
      </c>
      <c r="C122" t="s">
        <v>36</v>
      </c>
      <c r="D122" t="s">
        <v>70</v>
      </c>
      <c r="E122" t="s">
        <v>18</v>
      </c>
      <c r="F122" t="s">
        <v>14</v>
      </c>
      <c r="G122" t="s">
        <v>51</v>
      </c>
      <c r="H122" s="5">
        <v>11</v>
      </c>
      <c r="I122" s="3">
        <v>40038</v>
      </c>
      <c r="J122" s="10">
        <v>0</v>
      </c>
      <c r="K122" s="2">
        <v>440418</v>
      </c>
      <c r="L122" s="2">
        <f>Raw_Sales_Data3[[#This Row],[Quantity]]*Raw_Sales_Data3[[#This Row],[Unit Price]]*(Raw_Sales_Data3[[#This Row],[Discount %]]/100)</f>
        <v>0</v>
      </c>
      <c r="M122" t="str">
        <f>IF(COUNTIF(Raw_Sales_Data3[Order ID],Raw_Sales_Data3[[#This Row],[Order ID]])&gt;1,"Duplicate Order ID","Unique Order ID")</f>
        <v>Unique Order ID</v>
      </c>
    </row>
    <row r="123" spans="1:13" x14ac:dyDescent="0.3">
      <c r="A123" t="s">
        <v>181</v>
      </c>
      <c r="B123" s="1">
        <v>46060</v>
      </c>
      <c r="C123" t="s">
        <v>123</v>
      </c>
      <c r="D123" t="s">
        <v>58</v>
      </c>
      <c r="E123" t="s">
        <v>39</v>
      </c>
      <c r="F123" t="s">
        <v>14</v>
      </c>
      <c r="G123" t="s">
        <v>66</v>
      </c>
      <c r="H123" s="5">
        <f>K123/(I123*(1-J123/100))</f>
        <v>12</v>
      </c>
      <c r="I123" s="3">
        <v>25705</v>
      </c>
      <c r="J123" s="10">
        <v>0</v>
      </c>
      <c r="K123" s="2">
        <v>308460</v>
      </c>
      <c r="L123" s="2">
        <f>Raw_Sales_Data3[[#This Row],[Quantity]]*Raw_Sales_Data3[[#This Row],[Unit Price]]*(Raw_Sales_Data3[[#This Row],[Discount %]]/100)</f>
        <v>0</v>
      </c>
      <c r="M123" t="str">
        <f>IF(COUNTIF(Raw_Sales_Data3[Order ID],Raw_Sales_Data3[[#This Row],[Order ID]])&gt;1,"Duplicate Order ID","Unique Order ID")</f>
        <v>Unique Order ID</v>
      </c>
    </row>
    <row r="124" spans="1:13" x14ac:dyDescent="0.3">
      <c r="A124" t="s">
        <v>182</v>
      </c>
      <c r="B124" s="1">
        <v>46084</v>
      </c>
      <c r="C124" t="s">
        <v>64</v>
      </c>
      <c r="D124" t="s">
        <v>70</v>
      </c>
      <c r="E124" t="s">
        <v>18</v>
      </c>
      <c r="F124" t="s">
        <v>19</v>
      </c>
      <c r="G124" t="s">
        <v>79</v>
      </c>
      <c r="H124" s="5">
        <v>1</v>
      </c>
      <c r="I124" s="3">
        <v>19212</v>
      </c>
      <c r="J124" s="10">
        <v>0</v>
      </c>
      <c r="K124" s="2">
        <v>19212</v>
      </c>
      <c r="L124" s="2">
        <f>Raw_Sales_Data3[[#This Row],[Quantity]]*Raw_Sales_Data3[[#This Row],[Unit Price]]*(Raw_Sales_Data3[[#This Row],[Discount %]]/100)</f>
        <v>0</v>
      </c>
      <c r="M124" t="str">
        <f>IF(COUNTIF(Raw_Sales_Data3[Order ID],Raw_Sales_Data3[[#This Row],[Order ID]])&gt;1,"Duplicate Order ID","Unique Order ID")</f>
        <v>Unique Order ID</v>
      </c>
    </row>
    <row r="125" spans="1:13" x14ac:dyDescent="0.3">
      <c r="A125" t="s">
        <v>183</v>
      </c>
      <c r="B125" s="1">
        <v>46042</v>
      </c>
      <c r="C125" t="s">
        <v>89</v>
      </c>
      <c r="D125" t="s">
        <v>23</v>
      </c>
      <c r="E125" t="s">
        <v>18</v>
      </c>
      <c r="F125" t="s">
        <v>14</v>
      </c>
      <c r="G125" t="s">
        <v>125</v>
      </c>
      <c r="H125" s="5">
        <v>2</v>
      </c>
      <c r="I125" s="3">
        <v>54777</v>
      </c>
      <c r="J125" s="10">
        <v>5</v>
      </c>
      <c r="K125" s="2">
        <v>104076.3</v>
      </c>
      <c r="L125" s="2">
        <f>Raw_Sales_Data3[[#This Row],[Quantity]]*Raw_Sales_Data3[[#This Row],[Unit Price]]*(Raw_Sales_Data3[[#This Row],[Discount %]]/100)</f>
        <v>5477.7000000000007</v>
      </c>
      <c r="M125" t="str">
        <f>IF(COUNTIF(Raw_Sales_Data3[Order ID],Raw_Sales_Data3[[#This Row],[Order ID]])&gt;1,"Duplicate Order ID","Unique Order ID")</f>
        <v>Unique Order ID</v>
      </c>
    </row>
    <row r="126" spans="1:13" x14ac:dyDescent="0.3">
      <c r="A126" t="s">
        <v>184</v>
      </c>
      <c r="B126" s="1">
        <v>46050</v>
      </c>
      <c r="C126" t="s">
        <v>86</v>
      </c>
      <c r="D126" t="s">
        <v>43</v>
      </c>
      <c r="E126" t="s">
        <v>28</v>
      </c>
      <c r="F126" t="s">
        <v>14</v>
      </c>
      <c r="G126" t="s">
        <v>15</v>
      </c>
      <c r="H126" s="5">
        <v>4</v>
      </c>
      <c r="I126" s="3">
        <v>30210</v>
      </c>
      <c r="J126" s="10">
        <v>5</v>
      </c>
      <c r="K126" s="2">
        <v>114798</v>
      </c>
      <c r="L126" s="2">
        <f>Raw_Sales_Data3[[#This Row],[Quantity]]*Raw_Sales_Data3[[#This Row],[Unit Price]]*(Raw_Sales_Data3[[#This Row],[Discount %]]/100)</f>
        <v>6042</v>
      </c>
      <c r="M126" t="str">
        <f>IF(COUNTIF(Raw_Sales_Data3[Order ID],Raw_Sales_Data3[[#This Row],[Order ID]])&gt;1,"Duplicate Order ID","Unique Order ID")</f>
        <v>Unique Order ID</v>
      </c>
    </row>
    <row r="127" spans="1:13" x14ac:dyDescent="0.3">
      <c r="A127" t="s">
        <v>185</v>
      </c>
      <c r="B127" s="1">
        <v>46085</v>
      </c>
      <c r="C127" t="s">
        <v>57</v>
      </c>
      <c r="D127" t="s">
        <v>70</v>
      </c>
      <c r="E127" t="s">
        <v>13</v>
      </c>
      <c r="F127" t="s">
        <v>14</v>
      </c>
      <c r="G127" t="s">
        <v>66</v>
      </c>
      <c r="H127" s="5">
        <v>2</v>
      </c>
      <c r="I127" s="3">
        <v>5319</v>
      </c>
      <c r="J127" s="10">
        <v>0</v>
      </c>
      <c r="K127" s="2">
        <v>10638</v>
      </c>
      <c r="L127" s="2">
        <f>Raw_Sales_Data3[[#This Row],[Quantity]]*Raw_Sales_Data3[[#This Row],[Unit Price]]*(Raw_Sales_Data3[[#This Row],[Discount %]]/100)</f>
        <v>0</v>
      </c>
      <c r="M127" t="str">
        <f>IF(COUNTIF(Raw_Sales_Data3[Order ID],Raw_Sales_Data3[[#This Row],[Order ID]])&gt;1,"Duplicate Order ID","Unique Order ID")</f>
        <v>Unique Order ID</v>
      </c>
    </row>
    <row r="128" spans="1:13" x14ac:dyDescent="0.3">
      <c r="A128" t="s">
        <v>186</v>
      </c>
      <c r="B128" s="1">
        <v>46058</v>
      </c>
      <c r="C128" t="s">
        <v>17</v>
      </c>
      <c r="D128" t="s">
        <v>70</v>
      </c>
      <c r="E128" t="s">
        <v>13</v>
      </c>
      <c r="F128" t="s">
        <v>19</v>
      </c>
      <c r="G128" t="s">
        <v>59</v>
      </c>
      <c r="H128" s="5">
        <v>9</v>
      </c>
      <c r="I128" s="3">
        <v>49330</v>
      </c>
      <c r="J128" s="10">
        <v>5</v>
      </c>
      <c r="K128" s="2">
        <v>421771.5</v>
      </c>
      <c r="L128" s="2">
        <f>Raw_Sales_Data3[[#This Row],[Quantity]]*Raw_Sales_Data3[[#This Row],[Unit Price]]*(Raw_Sales_Data3[[#This Row],[Discount %]]/100)</f>
        <v>22198.5</v>
      </c>
      <c r="M128" t="str">
        <f>IF(COUNTIF(Raw_Sales_Data3[Order ID],Raw_Sales_Data3[[#This Row],[Order ID]])&gt;1,"Duplicate Order ID","Unique Order ID")</f>
        <v>Unique Order ID</v>
      </c>
    </row>
    <row r="129" spans="1:13" x14ac:dyDescent="0.3">
      <c r="A129" t="s">
        <v>187</v>
      </c>
      <c r="B129" s="1">
        <v>46083</v>
      </c>
      <c r="C129" t="s">
        <v>22</v>
      </c>
      <c r="D129" t="s">
        <v>58</v>
      </c>
      <c r="E129" t="s">
        <v>34</v>
      </c>
      <c r="F129" t="s">
        <v>19</v>
      </c>
      <c r="G129" t="s">
        <v>79</v>
      </c>
      <c r="H129" s="5">
        <v>4</v>
      </c>
      <c r="I129" s="3">
        <v>4747</v>
      </c>
      <c r="J129" s="10">
        <v>10</v>
      </c>
      <c r="K129" s="2">
        <v>17089.2</v>
      </c>
      <c r="L129" s="2">
        <f>Raw_Sales_Data3[[#This Row],[Quantity]]*Raw_Sales_Data3[[#This Row],[Unit Price]]*(Raw_Sales_Data3[[#This Row],[Discount %]]/100)</f>
        <v>1898.8000000000002</v>
      </c>
      <c r="M129" t="str">
        <f>IF(COUNTIF(Raw_Sales_Data3[Order ID],Raw_Sales_Data3[[#This Row],[Order ID]])&gt;1,"Duplicate Order ID","Unique Order ID")</f>
        <v>Unique Order ID</v>
      </c>
    </row>
    <row r="130" spans="1:13" x14ac:dyDescent="0.3">
      <c r="A130" t="s">
        <v>188</v>
      </c>
      <c r="B130" s="1">
        <v>46024</v>
      </c>
      <c r="C130" t="s">
        <v>62</v>
      </c>
      <c r="D130" t="s">
        <v>23</v>
      </c>
      <c r="E130" t="s">
        <v>13</v>
      </c>
      <c r="F130" t="s">
        <v>19</v>
      </c>
      <c r="G130" t="s">
        <v>147</v>
      </c>
      <c r="H130" s="5">
        <v>5</v>
      </c>
      <c r="I130" s="3">
        <f>K130/H130</f>
        <v>48608.65</v>
      </c>
      <c r="J130" s="10">
        <v>5</v>
      </c>
      <c r="K130" s="2">
        <v>243043.25</v>
      </c>
      <c r="L130" s="2">
        <f>Raw_Sales_Data3[[#This Row],[Quantity]]*Raw_Sales_Data3[[#This Row],[Unit Price]]*(Raw_Sales_Data3[[#This Row],[Discount %]]/100)</f>
        <v>12152.1625</v>
      </c>
      <c r="M130" t="str">
        <f>IF(COUNTIF(Raw_Sales_Data3[Order ID],Raw_Sales_Data3[[#This Row],[Order ID]])&gt;1,"Duplicate Order ID","Unique Order ID")</f>
        <v>Unique Order ID</v>
      </c>
    </row>
    <row r="131" spans="1:13" x14ac:dyDescent="0.3">
      <c r="A131" t="s">
        <v>189</v>
      </c>
      <c r="B131" s="1">
        <v>46078</v>
      </c>
      <c r="C131" t="s">
        <v>12</v>
      </c>
      <c r="D131" t="s">
        <v>58</v>
      </c>
      <c r="E131" t="s">
        <v>28</v>
      </c>
      <c r="F131" t="s">
        <v>24</v>
      </c>
      <c r="G131" t="s">
        <v>55</v>
      </c>
      <c r="H131" s="5">
        <v>15</v>
      </c>
      <c r="I131" s="3">
        <v>28680</v>
      </c>
      <c r="J131" s="10">
        <v>15</v>
      </c>
      <c r="K131" s="2">
        <v>365670</v>
      </c>
      <c r="L131" s="2">
        <f>Raw_Sales_Data3[[#This Row],[Quantity]]*Raw_Sales_Data3[[#This Row],[Unit Price]]*(Raw_Sales_Data3[[#This Row],[Discount %]]/100)</f>
        <v>64530</v>
      </c>
      <c r="M131" t="str">
        <f>IF(COUNTIF(Raw_Sales_Data3[Order ID],Raw_Sales_Data3[[#This Row],[Order ID]])&gt;1,"Duplicate Order ID","Unique Order ID")</f>
        <v>Unique Order ID</v>
      </c>
    </row>
    <row r="132" spans="1:13" x14ac:dyDescent="0.3">
      <c r="A132" t="s">
        <v>190</v>
      </c>
      <c r="B132" s="1">
        <v>46073</v>
      </c>
      <c r="C132" t="s">
        <v>64</v>
      </c>
      <c r="D132" t="s">
        <v>58</v>
      </c>
      <c r="E132" t="s">
        <v>34</v>
      </c>
      <c r="F132" t="s">
        <v>24</v>
      </c>
      <c r="G132" t="s">
        <v>53</v>
      </c>
      <c r="H132" s="5">
        <f>K132/(I132*(1-J132/100))</f>
        <v>10</v>
      </c>
      <c r="I132" s="3">
        <v>33536</v>
      </c>
      <c r="J132" s="10">
        <v>0</v>
      </c>
      <c r="K132" s="2">
        <v>335360</v>
      </c>
      <c r="L132" s="2">
        <f>Raw_Sales_Data3[[#This Row],[Quantity]]*Raw_Sales_Data3[[#This Row],[Unit Price]]*(Raw_Sales_Data3[[#This Row],[Discount %]]/100)</f>
        <v>0</v>
      </c>
      <c r="M132" t="str">
        <f>IF(COUNTIF(Raw_Sales_Data3[Order ID],Raw_Sales_Data3[[#This Row],[Order ID]])&gt;1,"Duplicate Order ID","Unique Order ID")</f>
        <v>Unique Order ID</v>
      </c>
    </row>
    <row r="133" spans="1:13" x14ac:dyDescent="0.3">
      <c r="A133" t="s">
        <v>191</v>
      </c>
      <c r="B133" s="1">
        <v>46042</v>
      </c>
      <c r="C133" t="s">
        <v>64</v>
      </c>
      <c r="D133" t="s">
        <v>70</v>
      </c>
      <c r="E133" t="s">
        <v>39</v>
      </c>
      <c r="F133" t="s">
        <v>19</v>
      </c>
      <c r="G133" t="s">
        <v>59</v>
      </c>
      <c r="H133" s="5">
        <v>15</v>
      </c>
      <c r="I133" s="3">
        <v>2020</v>
      </c>
      <c r="J133" s="10">
        <v>0</v>
      </c>
      <c r="K133" s="2">
        <v>30300</v>
      </c>
      <c r="L133" s="2">
        <f>Raw_Sales_Data3[[#This Row],[Quantity]]*Raw_Sales_Data3[[#This Row],[Unit Price]]*(Raw_Sales_Data3[[#This Row],[Discount %]]/100)</f>
        <v>0</v>
      </c>
      <c r="M133" t="str">
        <f>IF(COUNTIF(Raw_Sales_Data3[Order ID],Raw_Sales_Data3[[#This Row],[Order ID]])&gt;1,"Duplicate Order ID","Unique Order ID")</f>
        <v>Unique Order ID</v>
      </c>
    </row>
    <row r="134" spans="1:13" x14ac:dyDescent="0.3">
      <c r="A134" t="s">
        <v>192</v>
      </c>
      <c r="B134" s="1">
        <v>46070</v>
      </c>
      <c r="C134" t="s">
        <v>17</v>
      </c>
      <c r="D134" t="s">
        <v>43</v>
      </c>
      <c r="E134" t="s">
        <v>34</v>
      </c>
      <c r="F134" t="s">
        <v>14</v>
      </c>
      <c r="G134" t="s">
        <v>51</v>
      </c>
      <c r="H134" s="5">
        <v>3</v>
      </c>
      <c r="I134" s="3">
        <v>20866</v>
      </c>
      <c r="J134" s="10">
        <v>0</v>
      </c>
      <c r="K134" s="2">
        <v>62598</v>
      </c>
      <c r="L134" s="2">
        <f>Raw_Sales_Data3[[#This Row],[Quantity]]*Raw_Sales_Data3[[#This Row],[Unit Price]]*(Raw_Sales_Data3[[#This Row],[Discount %]]/100)</f>
        <v>0</v>
      </c>
      <c r="M134" t="str">
        <f>IF(COUNTIF(Raw_Sales_Data3[Order ID],Raw_Sales_Data3[[#This Row],[Order ID]])&gt;1,"Duplicate Order ID","Unique Order ID")</f>
        <v>Unique Order ID</v>
      </c>
    </row>
    <row r="135" spans="1:13" x14ac:dyDescent="0.3">
      <c r="A135" t="s">
        <v>193</v>
      </c>
      <c r="B135" s="1">
        <v>46029</v>
      </c>
      <c r="C135" t="s">
        <v>123</v>
      </c>
      <c r="D135" t="s">
        <v>23</v>
      </c>
      <c r="E135" t="s">
        <v>18</v>
      </c>
      <c r="F135" t="s">
        <v>14</v>
      </c>
      <c r="G135" t="s">
        <v>15</v>
      </c>
      <c r="H135" s="5">
        <v>15</v>
      </c>
      <c r="I135" s="3">
        <v>7951</v>
      </c>
      <c r="J135" s="10">
        <v>0</v>
      </c>
      <c r="K135" s="2">
        <v>95412</v>
      </c>
      <c r="L135" s="2">
        <f>Raw_Sales_Data3[[#This Row],[Quantity]]*Raw_Sales_Data3[[#This Row],[Unit Price]]*(Raw_Sales_Data3[[#This Row],[Discount %]]/100)</f>
        <v>0</v>
      </c>
      <c r="M135" t="str">
        <f>IF(COUNTIF(Raw_Sales_Data3[Order ID],Raw_Sales_Data3[[#This Row],[Order ID]])&gt;1,"Duplicate Order ID","Unique Order ID")</f>
        <v>Unique Order ID</v>
      </c>
    </row>
    <row r="136" spans="1:13" x14ac:dyDescent="0.3">
      <c r="A136" t="s">
        <v>194</v>
      </c>
      <c r="B136" s="1">
        <v>46023</v>
      </c>
      <c r="C136" t="s">
        <v>50</v>
      </c>
      <c r="D136" t="s">
        <v>23</v>
      </c>
      <c r="E136" t="s">
        <v>13</v>
      </c>
      <c r="F136" t="s">
        <v>14</v>
      </c>
      <c r="G136" t="s">
        <v>15</v>
      </c>
      <c r="H136" s="5">
        <v>15</v>
      </c>
      <c r="I136" s="3">
        <v>37975</v>
      </c>
      <c r="J136" s="10">
        <v>0</v>
      </c>
      <c r="K136" s="2">
        <v>569625</v>
      </c>
      <c r="L136" s="2">
        <f>Raw_Sales_Data3[[#This Row],[Quantity]]*Raw_Sales_Data3[[#This Row],[Unit Price]]*(Raw_Sales_Data3[[#This Row],[Discount %]]/100)</f>
        <v>0</v>
      </c>
      <c r="M136" t="str">
        <f>IF(COUNTIF(Raw_Sales_Data3[Order ID],Raw_Sales_Data3[[#This Row],[Order ID]])&gt;1,"Duplicate Order ID","Unique Order ID")</f>
        <v>Unique Order ID</v>
      </c>
    </row>
    <row r="137" spans="1:13" x14ac:dyDescent="0.3">
      <c r="A137" t="s">
        <v>195</v>
      </c>
      <c r="B137" s="1">
        <v>46036</v>
      </c>
      <c r="C137" t="s">
        <v>50</v>
      </c>
      <c r="D137" t="s">
        <v>23</v>
      </c>
      <c r="E137" t="s">
        <v>39</v>
      </c>
      <c r="F137" t="s">
        <v>24</v>
      </c>
      <c r="G137" t="s">
        <v>55</v>
      </c>
      <c r="H137" s="5">
        <v>1</v>
      </c>
      <c r="I137" s="3">
        <v>19103</v>
      </c>
      <c r="J137" s="10">
        <v>0</v>
      </c>
      <c r="K137" s="2">
        <v>19103</v>
      </c>
      <c r="L137" s="2">
        <f>Raw_Sales_Data3[[#This Row],[Quantity]]*Raw_Sales_Data3[[#This Row],[Unit Price]]*(Raw_Sales_Data3[[#This Row],[Discount %]]/100)</f>
        <v>0</v>
      </c>
      <c r="M137" t="str">
        <f>IF(COUNTIF(Raw_Sales_Data3[Order ID],Raw_Sales_Data3[[#This Row],[Order ID]])&gt;1,"Duplicate Order ID","Unique Order ID")</f>
        <v>Unique Order ID</v>
      </c>
    </row>
    <row r="138" spans="1:13" x14ac:dyDescent="0.3">
      <c r="A138" t="s">
        <v>196</v>
      </c>
      <c r="B138" s="1">
        <v>46076</v>
      </c>
      <c r="C138" t="s">
        <v>42</v>
      </c>
      <c r="D138" t="s">
        <v>43</v>
      </c>
      <c r="E138" t="s">
        <v>18</v>
      </c>
      <c r="F138" t="s">
        <v>24</v>
      </c>
      <c r="G138" t="s">
        <v>71</v>
      </c>
      <c r="H138" s="5">
        <v>15</v>
      </c>
      <c r="I138" s="3">
        <v>59926</v>
      </c>
      <c r="J138" s="10">
        <v>20</v>
      </c>
      <c r="K138" s="2">
        <v>719112</v>
      </c>
      <c r="L138" s="2">
        <f>Raw_Sales_Data3[[#This Row],[Quantity]]*Raw_Sales_Data3[[#This Row],[Unit Price]]*(Raw_Sales_Data3[[#This Row],[Discount %]]/100)</f>
        <v>179778</v>
      </c>
      <c r="M138" t="str">
        <f>IF(COUNTIF(Raw_Sales_Data3[Order ID],Raw_Sales_Data3[[#This Row],[Order ID]])&gt;1,"Duplicate Order ID","Unique Order ID")</f>
        <v>Unique Order ID</v>
      </c>
    </row>
    <row r="139" spans="1:13" x14ac:dyDescent="0.3">
      <c r="A139" t="s">
        <v>197</v>
      </c>
      <c r="B139" s="1">
        <v>46087</v>
      </c>
      <c r="C139" t="s">
        <v>48</v>
      </c>
      <c r="D139" t="s">
        <v>58</v>
      </c>
      <c r="E139" t="s">
        <v>13</v>
      </c>
      <c r="F139" t="s">
        <v>14</v>
      </c>
      <c r="G139" t="s">
        <v>55</v>
      </c>
      <c r="H139" s="5">
        <v>15</v>
      </c>
      <c r="I139" s="3">
        <v>39108</v>
      </c>
      <c r="J139" s="10">
        <v>0</v>
      </c>
      <c r="K139" s="2">
        <v>586620</v>
      </c>
      <c r="L139" s="2">
        <f>Raw_Sales_Data3[[#This Row],[Quantity]]*Raw_Sales_Data3[[#This Row],[Unit Price]]*(Raw_Sales_Data3[[#This Row],[Discount %]]/100)</f>
        <v>0</v>
      </c>
      <c r="M139" t="str">
        <f>IF(COUNTIF(Raw_Sales_Data3[Order ID],Raw_Sales_Data3[[#This Row],[Order ID]])&gt;1,"Duplicate Order ID","Unique Order ID")</f>
        <v>Unique Order ID</v>
      </c>
    </row>
    <row r="140" spans="1:13" x14ac:dyDescent="0.3">
      <c r="A140" t="s">
        <v>198</v>
      </c>
      <c r="B140" s="1"/>
      <c r="C140" t="s">
        <v>22</v>
      </c>
      <c r="D140" t="s">
        <v>43</v>
      </c>
      <c r="E140" t="s">
        <v>28</v>
      </c>
      <c r="F140" t="s">
        <v>24</v>
      </c>
      <c r="G140" t="s">
        <v>77</v>
      </c>
      <c r="H140" s="5">
        <v>2</v>
      </c>
      <c r="I140" s="3">
        <v>19428</v>
      </c>
      <c r="J140" s="10">
        <v>15</v>
      </c>
      <c r="K140" s="2">
        <v>33027.599999999999</v>
      </c>
      <c r="L140" s="2">
        <f>Raw_Sales_Data3[[#This Row],[Quantity]]*Raw_Sales_Data3[[#This Row],[Unit Price]]*(Raw_Sales_Data3[[#This Row],[Discount %]]/100)</f>
        <v>5828.4</v>
      </c>
      <c r="M140" t="str">
        <f>IF(COUNTIF(Raw_Sales_Data3[Order ID],Raw_Sales_Data3[[#This Row],[Order ID]])&gt;1,"Duplicate Order ID","Unique Order ID")</f>
        <v>Unique Order ID</v>
      </c>
    </row>
    <row r="141" spans="1:13" x14ac:dyDescent="0.3">
      <c r="A141" t="s">
        <v>199</v>
      </c>
      <c r="B141" s="1">
        <v>46030</v>
      </c>
      <c r="C141" t="s">
        <v>91</v>
      </c>
      <c r="D141" t="s">
        <v>58</v>
      </c>
      <c r="E141" t="s">
        <v>34</v>
      </c>
      <c r="F141" t="s">
        <v>19</v>
      </c>
      <c r="G141" t="s">
        <v>46</v>
      </c>
      <c r="H141" s="5">
        <v>15</v>
      </c>
      <c r="I141" s="3">
        <v>44374</v>
      </c>
      <c r="J141" s="10">
        <v>20</v>
      </c>
      <c r="K141" s="2">
        <v>532488</v>
      </c>
      <c r="L141" s="2">
        <f>Raw_Sales_Data3[[#This Row],[Quantity]]*Raw_Sales_Data3[[#This Row],[Unit Price]]*(Raw_Sales_Data3[[#This Row],[Discount %]]/100)</f>
        <v>133122</v>
      </c>
      <c r="M141" t="str">
        <f>IF(COUNTIF(Raw_Sales_Data3[Order ID],Raw_Sales_Data3[[#This Row],[Order ID]])&gt;1,"Duplicate Order ID","Unique Order ID")</f>
        <v>Unique Order ID</v>
      </c>
    </row>
    <row r="142" spans="1:13" x14ac:dyDescent="0.3">
      <c r="A142" t="s">
        <v>200</v>
      </c>
      <c r="B142" s="1">
        <v>46089</v>
      </c>
      <c r="C142" t="s">
        <v>17</v>
      </c>
      <c r="D142" t="s">
        <v>23</v>
      </c>
      <c r="E142" t="s">
        <v>13</v>
      </c>
      <c r="F142" t="s">
        <v>19</v>
      </c>
      <c r="G142" t="s">
        <v>20</v>
      </c>
      <c r="H142" s="5">
        <v>11</v>
      </c>
      <c r="I142" s="3">
        <v>5309</v>
      </c>
      <c r="J142" s="10">
        <v>0</v>
      </c>
      <c r="K142" s="2">
        <v>58399</v>
      </c>
      <c r="L142" s="2">
        <f>Raw_Sales_Data3[[#This Row],[Quantity]]*Raw_Sales_Data3[[#This Row],[Unit Price]]*(Raw_Sales_Data3[[#This Row],[Discount %]]/100)</f>
        <v>0</v>
      </c>
      <c r="M142" t="str">
        <f>IF(COUNTIF(Raw_Sales_Data3[Order ID],Raw_Sales_Data3[[#This Row],[Order ID]])&gt;1,"Duplicate Order ID","Unique Order ID")</f>
        <v>Unique Order ID</v>
      </c>
    </row>
    <row r="143" spans="1:13" x14ac:dyDescent="0.3">
      <c r="A143" t="s">
        <v>201</v>
      </c>
      <c r="B143" s="1"/>
      <c r="C143" t="s">
        <v>22</v>
      </c>
      <c r="D143" t="s">
        <v>43</v>
      </c>
      <c r="E143" t="s">
        <v>18</v>
      </c>
      <c r="F143" t="s">
        <v>24</v>
      </c>
      <c r="G143" t="s">
        <v>59</v>
      </c>
      <c r="H143" s="5">
        <v>1</v>
      </c>
      <c r="I143" s="3">
        <v>44911</v>
      </c>
      <c r="J143" s="10">
        <v>10</v>
      </c>
      <c r="K143" s="2">
        <v>40419.9</v>
      </c>
      <c r="L143" s="2">
        <f>Raw_Sales_Data3[[#This Row],[Quantity]]*Raw_Sales_Data3[[#This Row],[Unit Price]]*(Raw_Sales_Data3[[#This Row],[Discount %]]/100)</f>
        <v>4491.1000000000004</v>
      </c>
      <c r="M143" t="str">
        <f>IF(COUNTIF(Raw_Sales_Data3[Order ID],Raw_Sales_Data3[[#This Row],[Order ID]])&gt;1,"Duplicate Order ID","Unique Order ID")</f>
        <v>Unique Order ID</v>
      </c>
    </row>
    <row r="144" spans="1:13" x14ac:dyDescent="0.3">
      <c r="A144" t="s">
        <v>202</v>
      </c>
      <c r="B144" s="1">
        <v>46063</v>
      </c>
      <c r="C144" t="s">
        <v>45</v>
      </c>
      <c r="D144" t="s">
        <v>43</v>
      </c>
      <c r="E144" t="s">
        <v>28</v>
      </c>
      <c r="F144" t="s">
        <v>24</v>
      </c>
      <c r="G144" t="s">
        <v>29</v>
      </c>
      <c r="H144" s="5">
        <v>5</v>
      </c>
      <c r="I144" s="3">
        <v>46882</v>
      </c>
      <c r="J144" s="10">
        <v>0</v>
      </c>
      <c r="K144" s="2">
        <v>234410</v>
      </c>
      <c r="L144" s="2">
        <f>Raw_Sales_Data3[[#This Row],[Quantity]]*Raw_Sales_Data3[[#This Row],[Unit Price]]*(Raw_Sales_Data3[[#This Row],[Discount %]]/100)</f>
        <v>0</v>
      </c>
      <c r="M144" t="str">
        <f>IF(COUNTIF(Raw_Sales_Data3[Order ID],Raw_Sales_Data3[[#This Row],[Order ID]])&gt;1,"Duplicate Order ID","Unique Order ID")</f>
        <v>Unique Order ID</v>
      </c>
    </row>
    <row r="145" spans="1:13" x14ac:dyDescent="0.3">
      <c r="A145" t="s">
        <v>203</v>
      </c>
      <c r="B145" s="1">
        <v>46107</v>
      </c>
      <c r="C145" t="s">
        <v>38</v>
      </c>
      <c r="D145" t="s">
        <v>23</v>
      </c>
      <c r="E145" t="s">
        <v>39</v>
      </c>
      <c r="F145" t="s">
        <v>19</v>
      </c>
      <c r="G145" t="s">
        <v>117</v>
      </c>
      <c r="H145" s="5">
        <v>4</v>
      </c>
      <c r="I145" s="3">
        <v>40648</v>
      </c>
      <c r="J145" s="10">
        <v>0</v>
      </c>
      <c r="K145" s="2">
        <v>162592</v>
      </c>
      <c r="L145" s="2">
        <f>Raw_Sales_Data3[[#This Row],[Quantity]]*Raw_Sales_Data3[[#This Row],[Unit Price]]*(Raw_Sales_Data3[[#This Row],[Discount %]]/100)</f>
        <v>0</v>
      </c>
      <c r="M145" t="str">
        <f>IF(COUNTIF(Raw_Sales_Data3[Order ID],Raw_Sales_Data3[[#This Row],[Order ID]])&gt;1,"Duplicate Order ID","Unique Order ID")</f>
        <v>Unique Order ID</v>
      </c>
    </row>
    <row r="146" spans="1:13" x14ac:dyDescent="0.3">
      <c r="A146" t="s">
        <v>204</v>
      </c>
      <c r="B146" s="1">
        <v>46040</v>
      </c>
      <c r="C146" t="s">
        <v>48</v>
      </c>
      <c r="D146" t="s">
        <v>70</v>
      </c>
      <c r="E146" t="s">
        <v>39</v>
      </c>
      <c r="F146" t="s">
        <v>19</v>
      </c>
      <c r="G146" t="s">
        <v>1038</v>
      </c>
      <c r="H146" s="5">
        <v>14</v>
      </c>
      <c r="I146" s="3">
        <v>59584</v>
      </c>
      <c r="J146" s="10">
        <v>5</v>
      </c>
      <c r="K146" s="2">
        <v>792467.2</v>
      </c>
      <c r="L146" s="2">
        <f>Raw_Sales_Data3[[#This Row],[Quantity]]*Raw_Sales_Data3[[#This Row],[Unit Price]]*(Raw_Sales_Data3[[#This Row],[Discount %]]/100)</f>
        <v>41708.800000000003</v>
      </c>
      <c r="M146" t="str">
        <f>IF(COUNTIF(Raw_Sales_Data3[Order ID],Raw_Sales_Data3[[#This Row],[Order ID]])&gt;1,"Duplicate Order ID","Unique Order ID")</f>
        <v>Unique Order ID</v>
      </c>
    </row>
    <row r="147" spans="1:13" x14ac:dyDescent="0.3">
      <c r="A147" t="s">
        <v>205</v>
      </c>
      <c r="B147" s="1">
        <v>46080</v>
      </c>
      <c r="C147" t="s">
        <v>62</v>
      </c>
      <c r="D147" t="s">
        <v>43</v>
      </c>
      <c r="E147" t="s">
        <v>39</v>
      </c>
      <c r="F147" t="s">
        <v>19</v>
      </c>
      <c r="G147" t="s">
        <v>31</v>
      </c>
      <c r="H147" s="5">
        <v>11</v>
      </c>
      <c r="I147" s="3">
        <v>33010</v>
      </c>
      <c r="J147" s="10">
        <v>10</v>
      </c>
      <c r="K147" s="2">
        <v>326799</v>
      </c>
      <c r="L147" s="2">
        <f>Raw_Sales_Data3[[#This Row],[Quantity]]*Raw_Sales_Data3[[#This Row],[Unit Price]]*(Raw_Sales_Data3[[#This Row],[Discount %]]/100)</f>
        <v>36311</v>
      </c>
      <c r="M147" t="str">
        <f>IF(COUNTIF(Raw_Sales_Data3[Order ID],Raw_Sales_Data3[[#This Row],[Order ID]])&gt;1,"Duplicate Order ID","Unique Order ID")</f>
        <v>Unique Order ID</v>
      </c>
    </row>
    <row r="148" spans="1:13" x14ac:dyDescent="0.3">
      <c r="A148" t="s">
        <v>206</v>
      </c>
      <c r="B148" s="1">
        <v>46079</v>
      </c>
      <c r="C148" t="s">
        <v>86</v>
      </c>
      <c r="D148" t="s">
        <v>43</v>
      </c>
      <c r="E148" t="s">
        <v>39</v>
      </c>
      <c r="F148" t="s">
        <v>24</v>
      </c>
      <c r="G148" t="s">
        <v>77</v>
      </c>
      <c r="H148" s="5">
        <v>3</v>
      </c>
      <c r="I148" s="3">
        <v>44226</v>
      </c>
      <c r="J148" s="10">
        <v>10</v>
      </c>
      <c r="K148" s="2">
        <v>119410.2</v>
      </c>
      <c r="L148" s="2">
        <f>Raw_Sales_Data3[[#This Row],[Quantity]]*Raw_Sales_Data3[[#This Row],[Unit Price]]*(Raw_Sales_Data3[[#This Row],[Discount %]]/100)</f>
        <v>13267.800000000001</v>
      </c>
      <c r="M148" t="str">
        <f>IF(COUNTIF(Raw_Sales_Data3[Order ID],Raw_Sales_Data3[[#This Row],[Order ID]])&gt;1,"Duplicate Order ID","Unique Order ID")</f>
        <v>Unique Order ID</v>
      </c>
    </row>
    <row r="149" spans="1:13" x14ac:dyDescent="0.3">
      <c r="A149" t="s">
        <v>207</v>
      </c>
      <c r="B149" s="1">
        <v>46106</v>
      </c>
      <c r="C149" t="s">
        <v>38</v>
      </c>
      <c r="D149" t="s">
        <v>58</v>
      </c>
      <c r="E149" t="s">
        <v>39</v>
      </c>
      <c r="F149" t="s">
        <v>14</v>
      </c>
      <c r="G149" t="s">
        <v>103</v>
      </c>
      <c r="H149" s="5">
        <v>2</v>
      </c>
      <c r="I149" s="3">
        <v>47217</v>
      </c>
      <c r="J149" s="10">
        <v>10</v>
      </c>
      <c r="K149" s="2">
        <v>84990.6</v>
      </c>
      <c r="L149" s="2">
        <f>Raw_Sales_Data3[[#This Row],[Quantity]]*Raw_Sales_Data3[[#This Row],[Unit Price]]*(Raw_Sales_Data3[[#This Row],[Discount %]]/100)</f>
        <v>9443.4</v>
      </c>
      <c r="M149" t="str">
        <f>IF(COUNTIF(Raw_Sales_Data3[Order ID],Raw_Sales_Data3[[#This Row],[Order ID]])&gt;1,"Duplicate Order ID","Unique Order ID")</f>
        <v>Unique Order ID</v>
      </c>
    </row>
    <row r="150" spans="1:13" x14ac:dyDescent="0.3">
      <c r="A150" t="s">
        <v>208</v>
      </c>
      <c r="B150" s="1">
        <v>46094</v>
      </c>
      <c r="C150" t="s">
        <v>54</v>
      </c>
      <c r="D150" t="s">
        <v>23</v>
      </c>
      <c r="E150" t="s">
        <v>28</v>
      </c>
      <c r="F150" t="s">
        <v>19</v>
      </c>
      <c r="G150" t="s">
        <v>20</v>
      </c>
      <c r="H150" s="5">
        <v>3</v>
      </c>
      <c r="I150" s="3">
        <v>22504</v>
      </c>
      <c r="J150" s="10">
        <v>20</v>
      </c>
      <c r="K150" s="2">
        <v>54009.599999999999</v>
      </c>
      <c r="L150" s="2">
        <f>Raw_Sales_Data3[[#This Row],[Quantity]]*Raw_Sales_Data3[[#This Row],[Unit Price]]*(Raw_Sales_Data3[[#This Row],[Discount %]]/100)</f>
        <v>13502.400000000001</v>
      </c>
      <c r="M150" t="str">
        <f>IF(COUNTIF(Raw_Sales_Data3[Order ID],Raw_Sales_Data3[[#This Row],[Order ID]])&gt;1,"Duplicate Order ID","Unique Order ID")</f>
        <v>Unique Order ID</v>
      </c>
    </row>
    <row r="151" spans="1:13" x14ac:dyDescent="0.3">
      <c r="A151" t="s">
        <v>209</v>
      </c>
      <c r="B151" s="1">
        <v>46090</v>
      </c>
      <c r="C151" t="s">
        <v>89</v>
      </c>
      <c r="D151" t="s">
        <v>23</v>
      </c>
      <c r="E151" t="s">
        <v>18</v>
      </c>
      <c r="F151" t="s">
        <v>24</v>
      </c>
      <c r="G151" t="s">
        <v>25</v>
      </c>
      <c r="H151" s="5">
        <v>10</v>
      </c>
      <c r="I151" s="3">
        <v>42975</v>
      </c>
      <c r="J151" s="10">
        <v>0</v>
      </c>
      <c r="K151" s="2">
        <v>429750</v>
      </c>
      <c r="L151" s="2">
        <f>Raw_Sales_Data3[[#This Row],[Quantity]]*Raw_Sales_Data3[[#This Row],[Unit Price]]*(Raw_Sales_Data3[[#This Row],[Discount %]]/100)</f>
        <v>0</v>
      </c>
      <c r="M151" t="str">
        <f>IF(COUNTIF(Raw_Sales_Data3[Order ID],Raw_Sales_Data3[[#This Row],[Order ID]])&gt;1,"Duplicate Order ID","Unique Order ID")</f>
        <v>Unique Order ID</v>
      </c>
    </row>
    <row r="152" spans="1:13" x14ac:dyDescent="0.3">
      <c r="A152" t="s">
        <v>210</v>
      </c>
      <c r="B152" s="1"/>
      <c r="C152" t="s">
        <v>50</v>
      </c>
      <c r="D152" t="s">
        <v>23</v>
      </c>
      <c r="E152" t="s">
        <v>39</v>
      </c>
      <c r="F152" t="s">
        <v>19</v>
      </c>
      <c r="G152" t="s">
        <v>20</v>
      </c>
      <c r="H152" s="5">
        <v>9</v>
      </c>
      <c r="I152" s="3">
        <v>17794</v>
      </c>
      <c r="J152" s="10">
        <v>0</v>
      </c>
      <c r="K152" s="2">
        <v>160146</v>
      </c>
      <c r="L152" s="2">
        <f>Raw_Sales_Data3[[#This Row],[Quantity]]*Raw_Sales_Data3[[#This Row],[Unit Price]]*(Raw_Sales_Data3[[#This Row],[Discount %]]/100)</f>
        <v>0</v>
      </c>
      <c r="M152" t="str">
        <f>IF(COUNTIF(Raw_Sales_Data3[Order ID],Raw_Sales_Data3[[#This Row],[Order ID]])&gt;1,"Duplicate Order ID","Unique Order ID")</f>
        <v>Unique Order ID</v>
      </c>
    </row>
    <row r="153" spans="1:13" x14ac:dyDescent="0.3">
      <c r="A153" t="s">
        <v>211</v>
      </c>
      <c r="B153" s="1">
        <v>46050</v>
      </c>
      <c r="C153" t="s">
        <v>91</v>
      </c>
      <c r="D153" t="s">
        <v>43</v>
      </c>
      <c r="E153" t="s">
        <v>34</v>
      </c>
      <c r="F153" t="s">
        <v>19</v>
      </c>
      <c r="G153" t="s">
        <v>1038</v>
      </c>
      <c r="H153" s="5">
        <v>14</v>
      </c>
      <c r="I153" s="3">
        <v>56286</v>
      </c>
      <c r="J153" s="10">
        <v>15</v>
      </c>
      <c r="K153" s="2">
        <v>669803.4</v>
      </c>
      <c r="L153" s="2">
        <f>Raw_Sales_Data3[[#This Row],[Quantity]]*Raw_Sales_Data3[[#This Row],[Unit Price]]*(Raw_Sales_Data3[[#This Row],[Discount %]]/100)</f>
        <v>118200.59999999999</v>
      </c>
      <c r="M153" t="str">
        <f>IF(COUNTIF(Raw_Sales_Data3[Order ID],Raw_Sales_Data3[[#This Row],[Order ID]])&gt;1,"Duplicate Order ID","Unique Order ID")</f>
        <v>Unique Order ID</v>
      </c>
    </row>
    <row r="154" spans="1:13" x14ac:dyDescent="0.3">
      <c r="A154" t="s">
        <v>212</v>
      </c>
      <c r="B154" s="1">
        <v>46110</v>
      </c>
      <c r="C154" t="s">
        <v>45</v>
      </c>
      <c r="D154" t="s">
        <v>70</v>
      </c>
      <c r="E154" t="s">
        <v>28</v>
      </c>
      <c r="F154" t="s">
        <v>19</v>
      </c>
      <c r="G154" t="s">
        <v>147</v>
      </c>
      <c r="H154" s="5">
        <v>5</v>
      </c>
      <c r="I154" s="3">
        <v>55062</v>
      </c>
      <c r="J154" s="10">
        <v>20</v>
      </c>
      <c r="K154" s="2">
        <v>220248</v>
      </c>
      <c r="L154" s="2">
        <f>Raw_Sales_Data3[[#This Row],[Quantity]]*Raw_Sales_Data3[[#This Row],[Unit Price]]*(Raw_Sales_Data3[[#This Row],[Discount %]]/100)</f>
        <v>55062</v>
      </c>
      <c r="M154" t="str">
        <f>IF(COUNTIF(Raw_Sales_Data3[Order ID],Raw_Sales_Data3[[#This Row],[Order ID]])&gt;1,"Duplicate Order ID","Unique Order ID")</f>
        <v>Unique Order ID</v>
      </c>
    </row>
    <row r="155" spans="1:13" x14ac:dyDescent="0.3">
      <c r="A155" t="s">
        <v>213</v>
      </c>
      <c r="B155" s="1">
        <v>46097</v>
      </c>
      <c r="C155" t="s">
        <v>42</v>
      </c>
      <c r="D155" t="s">
        <v>23</v>
      </c>
      <c r="E155" t="s">
        <v>28</v>
      </c>
      <c r="F155" t="s">
        <v>14</v>
      </c>
      <c r="G155" t="s">
        <v>103</v>
      </c>
      <c r="H155" s="5">
        <v>5</v>
      </c>
      <c r="I155" s="3">
        <f>K155/H155</f>
        <v>40183.199999999997</v>
      </c>
      <c r="J155" s="10">
        <v>10</v>
      </c>
      <c r="K155" s="2">
        <v>200916</v>
      </c>
      <c r="L155" s="2">
        <f>Raw_Sales_Data3[[#This Row],[Quantity]]*Raw_Sales_Data3[[#This Row],[Unit Price]]*(Raw_Sales_Data3[[#This Row],[Discount %]]/100)</f>
        <v>20091.600000000002</v>
      </c>
      <c r="M155" t="str">
        <f>IF(COUNTIF(Raw_Sales_Data3[Order ID],Raw_Sales_Data3[[#This Row],[Order ID]])&gt;1,"Duplicate Order ID","Unique Order ID")</f>
        <v>Unique Order ID</v>
      </c>
    </row>
    <row r="156" spans="1:13" x14ac:dyDescent="0.3">
      <c r="A156" t="s">
        <v>214</v>
      </c>
      <c r="B156" s="1">
        <v>46045</v>
      </c>
      <c r="C156" t="s">
        <v>89</v>
      </c>
      <c r="D156" t="s">
        <v>43</v>
      </c>
      <c r="E156" t="s">
        <v>18</v>
      </c>
      <c r="F156" t="s">
        <v>14</v>
      </c>
      <c r="G156" t="s">
        <v>156</v>
      </c>
      <c r="H156" s="5">
        <v>6</v>
      </c>
      <c r="I156" s="3">
        <v>22035</v>
      </c>
      <c r="J156" s="10">
        <v>5</v>
      </c>
      <c r="K156" s="2">
        <v>125599.5</v>
      </c>
      <c r="L156" s="2">
        <f>Raw_Sales_Data3[[#This Row],[Quantity]]*Raw_Sales_Data3[[#This Row],[Unit Price]]*(Raw_Sales_Data3[[#This Row],[Discount %]]/100)</f>
        <v>6610.5</v>
      </c>
      <c r="M156" t="str">
        <f>IF(COUNTIF(Raw_Sales_Data3[Order ID],Raw_Sales_Data3[[#This Row],[Order ID]])&gt;1,"Duplicate Order ID","Unique Order ID")</f>
        <v>Unique Order ID</v>
      </c>
    </row>
    <row r="157" spans="1:13" x14ac:dyDescent="0.3">
      <c r="A157" t="s">
        <v>215</v>
      </c>
      <c r="B157" s="1">
        <v>46093</v>
      </c>
      <c r="C157" t="s">
        <v>50</v>
      </c>
      <c r="D157" t="s">
        <v>70</v>
      </c>
      <c r="E157" t="s">
        <v>18</v>
      </c>
      <c r="F157" t="s">
        <v>19</v>
      </c>
      <c r="G157" t="s">
        <v>40</v>
      </c>
      <c r="H157" s="5">
        <v>9</v>
      </c>
      <c r="I157" s="3">
        <v>41985</v>
      </c>
      <c r="J157" s="10">
        <v>0</v>
      </c>
      <c r="K157" s="2">
        <v>377865</v>
      </c>
      <c r="L157" s="2">
        <f>Raw_Sales_Data3[[#This Row],[Quantity]]*Raw_Sales_Data3[[#This Row],[Unit Price]]*(Raw_Sales_Data3[[#This Row],[Discount %]]/100)</f>
        <v>0</v>
      </c>
      <c r="M157" t="str">
        <f>IF(COUNTIF(Raw_Sales_Data3[Order ID],Raw_Sales_Data3[[#This Row],[Order ID]])&gt;1,"Duplicate Order ID","Unique Order ID")</f>
        <v>Unique Order ID</v>
      </c>
    </row>
    <row r="158" spans="1:13" x14ac:dyDescent="0.3">
      <c r="A158" t="s">
        <v>216</v>
      </c>
      <c r="B158" s="1">
        <v>46065</v>
      </c>
      <c r="C158" t="s">
        <v>89</v>
      </c>
      <c r="D158" t="s">
        <v>58</v>
      </c>
      <c r="E158" t="s">
        <v>39</v>
      </c>
      <c r="F158" t="s">
        <v>19</v>
      </c>
      <c r="G158" t="s">
        <v>46</v>
      </c>
      <c r="H158" s="5">
        <v>12</v>
      </c>
      <c r="I158" s="3">
        <v>22949</v>
      </c>
      <c r="J158" s="10">
        <v>5</v>
      </c>
      <c r="K158" s="2">
        <v>261618.6</v>
      </c>
      <c r="L158" s="2">
        <f>Raw_Sales_Data3[[#This Row],[Quantity]]*Raw_Sales_Data3[[#This Row],[Unit Price]]*(Raw_Sales_Data3[[#This Row],[Discount %]]/100)</f>
        <v>13769.400000000001</v>
      </c>
      <c r="M158" t="str">
        <f>IF(COUNTIF(Raw_Sales_Data3[Order ID],Raw_Sales_Data3[[#This Row],[Order ID]])&gt;1,"Duplicate Order ID","Unique Order ID")</f>
        <v>Unique Order ID</v>
      </c>
    </row>
    <row r="159" spans="1:13" x14ac:dyDescent="0.3">
      <c r="A159" t="s">
        <v>217</v>
      </c>
      <c r="B159" s="1">
        <v>46031</v>
      </c>
      <c r="C159" t="s">
        <v>33</v>
      </c>
      <c r="D159" t="s">
        <v>58</v>
      </c>
      <c r="E159" t="s">
        <v>39</v>
      </c>
      <c r="F159" t="s">
        <v>14</v>
      </c>
      <c r="G159" t="s">
        <v>103</v>
      </c>
      <c r="H159" s="5">
        <v>15</v>
      </c>
      <c r="I159" s="3">
        <v>55162</v>
      </c>
      <c r="J159" s="10">
        <v>15</v>
      </c>
      <c r="K159" s="2">
        <v>703315.5</v>
      </c>
      <c r="L159" s="2">
        <f>Raw_Sales_Data3[[#This Row],[Quantity]]*Raw_Sales_Data3[[#This Row],[Unit Price]]*(Raw_Sales_Data3[[#This Row],[Discount %]]/100)</f>
        <v>124114.5</v>
      </c>
      <c r="M159" t="str">
        <f>IF(COUNTIF(Raw_Sales_Data3[Order ID],Raw_Sales_Data3[[#This Row],[Order ID]])&gt;1,"Duplicate Order ID","Unique Order ID")</f>
        <v>Unique Order ID</v>
      </c>
    </row>
    <row r="160" spans="1:13" x14ac:dyDescent="0.3">
      <c r="A160" t="s">
        <v>218</v>
      </c>
      <c r="B160" s="1">
        <v>46048</v>
      </c>
      <c r="C160" t="s">
        <v>17</v>
      </c>
      <c r="D160" t="s">
        <v>58</v>
      </c>
      <c r="E160" t="s">
        <v>18</v>
      </c>
      <c r="F160" t="s">
        <v>14</v>
      </c>
      <c r="G160" t="s">
        <v>125</v>
      </c>
      <c r="H160" s="5">
        <v>8</v>
      </c>
      <c r="I160" s="3">
        <v>29534</v>
      </c>
      <c r="J160" s="10">
        <v>5</v>
      </c>
      <c r="K160" s="2">
        <v>224458.4</v>
      </c>
      <c r="L160" s="2">
        <f>Raw_Sales_Data3[[#This Row],[Quantity]]*Raw_Sales_Data3[[#This Row],[Unit Price]]*(Raw_Sales_Data3[[#This Row],[Discount %]]/100)</f>
        <v>11813.6</v>
      </c>
      <c r="M160" t="str">
        <f>IF(COUNTIF(Raw_Sales_Data3[Order ID],Raw_Sales_Data3[[#This Row],[Order ID]])&gt;1,"Duplicate Order ID","Unique Order ID")</f>
        <v>Unique Order ID</v>
      </c>
    </row>
    <row r="161" spans="1:13" x14ac:dyDescent="0.3">
      <c r="A161" t="s">
        <v>219</v>
      </c>
      <c r="B161" s="1">
        <v>46106</v>
      </c>
      <c r="C161" t="s">
        <v>33</v>
      </c>
      <c r="D161" t="s">
        <v>58</v>
      </c>
      <c r="E161" t="s">
        <v>18</v>
      </c>
      <c r="F161" t="s">
        <v>14</v>
      </c>
      <c r="G161" t="s">
        <v>66</v>
      </c>
      <c r="H161" s="5">
        <v>8</v>
      </c>
      <c r="I161" s="3">
        <v>17544</v>
      </c>
      <c r="J161" s="10">
        <v>20</v>
      </c>
      <c r="K161" s="2">
        <v>112281.60000000001</v>
      </c>
      <c r="L161" s="2">
        <f>Raw_Sales_Data3[[#This Row],[Quantity]]*Raw_Sales_Data3[[#This Row],[Unit Price]]*(Raw_Sales_Data3[[#This Row],[Discount %]]/100)</f>
        <v>28070.400000000001</v>
      </c>
      <c r="M161" t="str">
        <f>IF(COUNTIF(Raw_Sales_Data3[Order ID],Raw_Sales_Data3[[#This Row],[Order ID]])&gt;1,"Duplicate Order ID","Unique Order ID")</f>
        <v>Unique Order ID</v>
      </c>
    </row>
    <row r="162" spans="1:13" x14ac:dyDescent="0.3">
      <c r="A162" t="s">
        <v>220</v>
      </c>
      <c r="B162" s="1">
        <v>46035</v>
      </c>
      <c r="C162" t="s">
        <v>42</v>
      </c>
      <c r="D162" t="s">
        <v>43</v>
      </c>
      <c r="E162" t="s">
        <v>34</v>
      </c>
      <c r="F162" t="s">
        <v>24</v>
      </c>
      <c r="G162" t="s">
        <v>77</v>
      </c>
      <c r="H162" s="5">
        <v>10</v>
      </c>
      <c r="I162" s="3">
        <v>48946</v>
      </c>
      <c r="J162" s="10">
        <v>0</v>
      </c>
      <c r="K162" s="2">
        <v>489460</v>
      </c>
      <c r="L162" s="2">
        <f>Raw_Sales_Data3[[#This Row],[Quantity]]*Raw_Sales_Data3[[#This Row],[Unit Price]]*(Raw_Sales_Data3[[#This Row],[Discount %]]/100)</f>
        <v>0</v>
      </c>
      <c r="M162" t="str">
        <f>IF(COUNTIF(Raw_Sales_Data3[Order ID],Raw_Sales_Data3[[#This Row],[Order ID]])&gt;1,"Duplicate Order ID","Unique Order ID")</f>
        <v>Unique Order ID</v>
      </c>
    </row>
    <row r="163" spans="1:13" x14ac:dyDescent="0.3">
      <c r="A163" t="s">
        <v>221</v>
      </c>
      <c r="B163" s="1">
        <v>46036</v>
      </c>
      <c r="C163" t="s">
        <v>17</v>
      </c>
      <c r="D163" t="s">
        <v>23</v>
      </c>
      <c r="E163" t="s">
        <v>18</v>
      </c>
      <c r="F163" t="s">
        <v>19</v>
      </c>
      <c r="G163" t="s">
        <v>120</v>
      </c>
      <c r="H163" s="5">
        <f>K163/(I163*(1-J163/100))</f>
        <v>12</v>
      </c>
      <c r="I163" s="3">
        <v>9646</v>
      </c>
      <c r="J163" s="10">
        <v>20</v>
      </c>
      <c r="K163" s="2">
        <v>92601.600000000006</v>
      </c>
      <c r="L163" s="2">
        <f>Raw_Sales_Data3[[#This Row],[Quantity]]*Raw_Sales_Data3[[#This Row],[Unit Price]]*(Raw_Sales_Data3[[#This Row],[Discount %]]/100)</f>
        <v>23150.400000000001</v>
      </c>
      <c r="M163" t="str">
        <f>IF(COUNTIF(Raw_Sales_Data3[Order ID],Raw_Sales_Data3[[#This Row],[Order ID]])&gt;1,"Duplicate Order ID","Unique Order ID")</f>
        <v>Unique Order ID</v>
      </c>
    </row>
    <row r="164" spans="1:13" x14ac:dyDescent="0.3">
      <c r="A164" t="s">
        <v>222</v>
      </c>
      <c r="B164" s="1">
        <v>46060</v>
      </c>
      <c r="C164" t="s">
        <v>36</v>
      </c>
      <c r="D164" t="s">
        <v>23</v>
      </c>
      <c r="E164" t="s">
        <v>28</v>
      </c>
      <c r="F164" t="s">
        <v>19</v>
      </c>
      <c r="G164" t="s">
        <v>59</v>
      </c>
      <c r="H164" s="5">
        <v>13</v>
      </c>
      <c r="I164" s="3">
        <v>9374</v>
      </c>
      <c r="J164" s="10">
        <v>10</v>
      </c>
      <c r="K164" s="2">
        <v>109675.8</v>
      </c>
      <c r="L164" s="2">
        <f>Raw_Sales_Data3[[#This Row],[Quantity]]*Raw_Sales_Data3[[#This Row],[Unit Price]]*(Raw_Sales_Data3[[#This Row],[Discount %]]/100)</f>
        <v>12186.2</v>
      </c>
      <c r="M164" t="str">
        <f>IF(COUNTIF(Raw_Sales_Data3[Order ID],Raw_Sales_Data3[[#This Row],[Order ID]])&gt;1,"Duplicate Order ID","Unique Order ID")</f>
        <v>Unique Order ID</v>
      </c>
    </row>
    <row r="165" spans="1:13" x14ac:dyDescent="0.3">
      <c r="A165" t="s">
        <v>223</v>
      </c>
      <c r="B165" s="1">
        <v>46091</v>
      </c>
      <c r="C165" t="s">
        <v>123</v>
      </c>
      <c r="D165" t="s">
        <v>43</v>
      </c>
      <c r="E165" t="s">
        <v>34</v>
      </c>
      <c r="F165" t="s">
        <v>14</v>
      </c>
      <c r="G165" t="s">
        <v>156</v>
      </c>
      <c r="H165" s="5">
        <v>2</v>
      </c>
      <c r="I165" s="3">
        <v>29906</v>
      </c>
      <c r="J165" s="10">
        <v>0</v>
      </c>
      <c r="K165" s="2">
        <v>59812</v>
      </c>
      <c r="L165" s="2">
        <f>Raw_Sales_Data3[[#This Row],[Quantity]]*Raw_Sales_Data3[[#This Row],[Unit Price]]*(Raw_Sales_Data3[[#This Row],[Discount %]]/100)</f>
        <v>0</v>
      </c>
      <c r="M165" t="str">
        <f>IF(COUNTIF(Raw_Sales_Data3[Order ID],Raw_Sales_Data3[[#This Row],[Order ID]])&gt;1,"Duplicate Order ID","Unique Order ID")</f>
        <v>Unique Order ID</v>
      </c>
    </row>
    <row r="166" spans="1:13" x14ac:dyDescent="0.3">
      <c r="A166" t="s">
        <v>224</v>
      </c>
      <c r="B166" s="1">
        <v>46061</v>
      </c>
      <c r="C166" t="s">
        <v>64</v>
      </c>
      <c r="D166" t="s">
        <v>70</v>
      </c>
      <c r="E166" t="s">
        <v>28</v>
      </c>
      <c r="F166" t="s">
        <v>24</v>
      </c>
      <c r="G166" t="s">
        <v>77</v>
      </c>
      <c r="H166" s="5">
        <v>5</v>
      </c>
      <c r="I166" s="3">
        <v>40563</v>
      </c>
      <c r="J166" s="10">
        <v>10</v>
      </c>
      <c r="K166" s="2">
        <v>182533.5</v>
      </c>
      <c r="L166" s="2">
        <f>Raw_Sales_Data3[[#This Row],[Quantity]]*Raw_Sales_Data3[[#This Row],[Unit Price]]*(Raw_Sales_Data3[[#This Row],[Discount %]]/100)</f>
        <v>20281.5</v>
      </c>
      <c r="M166" t="str">
        <f>IF(COUNTIF(Raw_Sales_Data3[Order ID],Raw_Sales_Data3[[#This Row],[Order ID]])&gt;1,"Duplicate Order ID","Unique Order ID")</f>
        <v>Unique Order ID</v>
      </c>
    </row>
    <row r="167" spans="1:13" x14ac:dyDescent="0.3">
      <c r="A167" t="s">
        <v>225</v>
      </c>
      <c r="B167" s="1">
        <v>46031</v>
      </c>
      <c r="C167" t="s">
        <v>64</v>
      </c>
      <c r="D167" t="s">
        <v>58</v>
      </c>
      <c r="E167" t="s">
        <v>34</v>
      </c>
      <c r="F167" t="s">
        <v>14</v>
      </c>
      <c r="G167" t="s">
        <v>66</v>
      </c>
      <c r="H167" s="5">
        <v>3</v>
      </c>
      <c r="I167" s="3">
        <v>10303</v>
      </c>
      <c r="J167" s="10">
        <v>10</v>
      </c>
      <c r="K167" s="2">
        <v>27818.1</v>
      </c>
      <c r="L167" s="2">
        <f>Raw_Sales_Data3[[#This Row],[Quantity]]*Raw_Sales_Data3[[#This Row],[Unit Price]]*(Raw_Sales_Data3[[#This Row],[Discount %]]/100)</f>
        <v>3090.9</v>
      </c>
      <c r="M167" t="str">
        <f>IF(COUNTIF(Raw_Sales_Data3[Order ID],Raw_Sales_Data3[[#This Row],[Order ID]])&gt;1,"Duplicate Order ID","Unique Order ID")</f>
        <v>Unique Order ID</v>
      </c>
    </row>
    <row r="168" spans="1:13" x14ac:dyDescent="0.3">
      <c r="A168" t="s">
        <v>226</v>
      </c>
      <c r="B168" s="1">
        <v>46035</v>
      </c>
      <c r="C168" t="s">
        <v>54</v>
      </c>
      <c r="D168" t="s">
        <v>70</v>
      </c>
      <c r="E168" t="s">
        <v>18</v>
      </c>
      <c r="F168" t="s">
        <v>19</v>
      </c>
      <c r="G168" t="s">
        <v>59</v>
      </c>
      <c r="H168" s="5">
        <v>13</v>
      </c>
      <c r="I168" s="3">
        <v>6037</v>
      </c>
      <c r="J168" s="10">
        <v>5</v>
      </c>
      <c r="K168" s="2">
        <v>74556.95</v>
      </c>
      <c r="L168" s="2">
        <f>Raw_Sales_Data3[[#This Row],[Quantity]]*Raw_Sales_Data3[[#This Row],[Unit Price]]*(Raw_Sales_Data3[[#This Row],[Discount %]]/100)</f>
        <v>3924.05</v>
      </c>
      <c r="M168" t="str">
        <f>IF(COUNTIF(Raw_Sales_Data3[Order ID],Raw_Sales_Data3[[#This Row],[Order ID]])&gt;1,"Duplicate Order ID","Unique Order ID")</f>
        <v>Unique Order ID</v>
      </c>
    </row>
    <row r="169" spans="1:13" x14ac:dyDescent="0.3">
      <c r="A169" t="s">
        <v>227</v>
      </c>
      <c r="B169" s="1">
        <v>46092</v>
      </c>
      <c r="C169" t="s">
        <v>33</v>
      </c>
      <c r="D169" t="s">
        <v>23</v>
      </c>
      <c r="E169" t="s">
        <v>18</v>
      </c>
      <c r="F169" t="s">
        <v>14</v>
      </c>
      <c r="G169" t="s">
        <v>15</v>
      </c>
      <c r="H169" s="5">
        <v>7</v>
      </c>
      <c r="I169" s="3">
        <v>11168</v>
      </c>
      <c r="J169" s="10">
        <v>0</v>
      </c>
      <c r="K169" s="2">
        <v>78176</v>
      </c>
      <c r="L169" s="2">
        <f>Raw_Sales_Data3[[#This Row],[Quantity]]*Raw_Sales_Data3[[#This Row],[Unit Price]]*(Raw_Sales_Data3[[#This Row],[Discount %]]/100)</f>
        <v>0</v>
      </c>
      <c r="M169" t="str">
        <f>IF(COUNTIF(Raw_Sales_Data3[Order ID],Raw_Sales_Data3[[#This Row],[Order ID]])&gt;1,"Duplicate Order ID","Unique Order ID")</f>
        <v>Unique Order ID</v>
      </c>
    </row>
    <row r="170" spans="1:13" x14ac:dyDescent="0.3">
      <c r="A170" t="s">
        <v>228</v>
      </c>
      <c r="B170" s="1">
        <v>46072</v>
      </c>
      <c r="C170" t="s">
        <v>123</v>
      </c>
      <c r="D170" t="s">
        <v>23</v>
      </c>
      <c r="E170" t="s">
        <v>28</v>
      </c>
      <c r="F170" t="s">
        <v>24</v>
      </c>
      <c r="G170" t="s">
        <v>71</v>
      </c>
      <c r="H170" s="5">
        <v>12</v>
      </c>
      <c r="I170" s="3">
        <v>21253</v>
      </c>
      <c r="J170" s="10">
        <v>20</v>
      </c>
      <c r="K170" s="2">
        <v>204028.79999999999</v>
      </c>
      <c r="L170" s="2">
        <f>Raw_Sales_Data3[[#This Row],[Quantity]]*Raw_Sales_Data3[[#This Row],[Unit Price]]*(Raw_Sales_Data3[[#This Row],[Discount %]]/100)</f>
        <v>51007.200000000004</v>
      </c>
      <c r="M170" t="str">
        <f>IF(COUNTIF(Raw_Sales_Data3[Order ID],Raw_Sales_Data3[[#This Row],[Order ID]])&gt;1,"Duplicate Order ID","Unique Order ID")</f>
        <v>Unique Order ID</v>
      </c>
    </row>
    <row r="171" spans="1:13" x14ac:dyDescent="0.3">
      <c r="A171" t="s">
        <v>229</v>
      </c>
      <c r="B171" s="1">
        <v>46029</v>
      </c>
      <c r="C171" t="s">
        <v>54</v>
      </c>
      <c r="D171" t="s">
        <v>70</v>
      </c>
      <c r="E171" t="s">
        <v>13</v>
      </c>
      <c r="F171" t="s">
        <v>14</v>
      </c>
      <c r="G171" t="s">
        <v>98</v>
      </c>
      <c r="H171" s="5">
        <v>2</v>
      </c>
      <c r="I171" s="3">
        <v>6347</v>
      </c>
      <c r="J171" s="10">
        <v>5</v>
      </c>
      <c r="K171" s="2">
        <v>12059.3</v>
      </c>
      <c r="L171" s="2">
        <f>Raw_Sales_Data3[[#This Row],[Quantity]]*Raw_Sales_Data3[[#This Row],[Unit Price]]*(Raw_Sales_Data3[[#This Row],[Discount %]]/100)</f>
        <v>634.70000000000005</v>
      </c>
      <c r="M171" t="str">
        <f>IF(COUNTIF(Raw_Sales_Data3[Order ID],Raw_Sales_Data3[[#This Row],[Order ID]])&gt;1,"Duplicate Order ID","Unique Order ID")</f>
        <v>Unique Order ID</v>
      </c>
    </row>
    <row r="172" spans="1:13" x14ac:dyDescent="0.3">
      <c r="A172" t="s">
        <v>230</v>
      </c>
      <c r="B172" s="1">
        <v>46045</v>
      </c>
      <c r="C172" t="s">
        <v>22</v>
      </c>
      <c r="D172" t="s">
        <v>58</v>
      </c>
      <c r="E172" t="s">
        <v>34</v>
      </c>
      <c r="F172" t="s">
        <v>24</v>
      </c>
      <c r="G172" t="s">
        <v>29</v>
      </c>
      <c r="H172" s="5">
        <v>7</v>
      </c>
      <c r="I172" s="3">
        <v>6561</v>
      </c>
      <c r="J172" s="10">
        <v>0</v>
      </c>
      <c r="K172" s="2">
        <v>45927</v>
      </c>
      <c r="L172" s="2">
        <f>Raw_Sales_Data3[[#This Row],[Quantity]]*Raw_Sales_Data3[[#This Row],[Unit Price]]*(Raw_Sales_Data3[[#This Row],[Discount %]]/100)</f>
        <v>0</v>
      </c>
      <c r="M172" t="str">
        <f>IF(COUNTIF(Raw_Sales_Data3[Order ID],Raw_Sales_Data3[[#This Row],[Order ID]])&gt;1,"Duplicate Order ID","Unique Order ID")</f>
        <v>Unique Order ID</v>
      </c>
    </row>
    <row r="173" spans="1:13" x14ac:dyDescent="0.3">
      <c r="A173" t="s">
        <v>231</v>
      </c>
      <c r="B173" s="1">
        <v>46069</v>
      </c>
      <c r="C173" t="s">
        <v>69</v>
      </c>
      <c r="D173" t="s">
        <v>70</v>
      </c>
      <c r="E173" t="s">
        <v>18</v>
      </c>
      <c r="F173" t="s">
        <v>14</v>
      </c>
      <c r="G173" t="s">
        <v>98</v>
      </c>
      <c r="H173" s="5">
        <f>K173/(I173*(1-J173/100))</f>
        <v>15</v>
      </c>
      <c r="I173" s="3">
        <v>26947</v>
      </c>
      <c r="J173" s="10">
        <v>10</v>
      </c>
      <c r="K173" s="2">
        <v>363784.5</v>
      </c>
      <c r="L173" s="2">
        <f>Raw_Sales_Data3[[#This Row],[Quantity]]*Raw_Sales_Data3[[#This Row],[Unit Price]]*(Raw_Sales_Data3[[#This Row],[Discount %]]/100)</f>
        <v>40420.5</v>
      </c>
      <c r="M173" t="str">
        <f>IF(COUNTIF(Raw_Sales_Data3[Order ID],Raw_Sales_Data3[[#This Row],[Order ID]])&gt;1,"Duplicate Order ID","Unique Order ID")</f>
        <v>Unique Order ID</v>
      </c>
    </row>
    <row r="174" spans="1:13" x14ac:dyDescent="0.3">
      <c r="A174" t="s">
        <v>232</v>
      </c>
      <c r="B174" s="1">
        <v>46029</v>
      </c>
      <c r="C174" t="s">
        <v>36</v>
      </c>
      <c r="D174" t="s">
        <v>23</v>
      </c>
      <c r="E174" t="s">
        <v>18</v>
      </c>
      <c r="F174" t="s">
        <v>24</v>
      </c>
      <c r="G174" t="s">
        <v>77</v>
      </c>
      <c r="H174" s="5">
        <v>14</v>
      </c>
      <c r="I174" s="3">
        <v>2825</v>
      </c>
      <c r="J174" s="10">
        <v>0</v>
      </c>
      <c r="K174" s="2">
        <v>39550</v>
      </c>
      <c r="L174" s="2">
        <f>Raw_Sales_Data3[[#This Row],[Quantity]]*Raw_Sales_Data3[[#This Row],[Unit Price]]*(Raw_Sales_Data3[[#This Row],[Discount %]]/100)</f>
        <v>0</v>
      </c>
      <c r="M174" t="str">
        <f>IF(COUNTIF(Raw_Sales_Data3[Order ID],Raw_Sales_Data3[[#This Row],[Order ID]])&gt;1,"Duplicate Order ID","Unique Order ID")</f>
        <v>Unique Order ID</v>
      </c>
    </row>
    <row r="175" spans="1:13" x14ac:dyDescent="0.3">
      <c r="A175" t="s">
        <v>233</v>
      </c>
      <c r="B175" s="1">
        <v>46062</v>
      </c>
      <c r="C175" t="s">
        <v>12</v>
      </c>
      <c r="D175" t="s">
        <v>43</v>
      </c>
      <c r="E175" t="s">
        <v>13</v>
      </c>
      <c r="F175" t="s">
        <v>19</v>
      </c>
      <c r="G175" t="s">
        <v>120</v>
      </c>
      <c r="H175" s="5">
        <v>9</v>
      </c>
      <c r="I175" s="3">
        <v>59878</v>
      </c>
      <c r="J175" s="10">
        <v>15</v>
      </c>
      <c r="K175" s="2">
        <v>458066.7</v>
      </c>
      <c r="L175" s="2">
        <f>Raw_Sales_Data3[[#This Row],[Quantity]]*Raw_Sales_Data3[[#This Row],[Unit Price]]*(Raw_Sales_Data3[[#This Row],[Discount %]]/100)</f>
        <v>80835.3</v>
      </c>
      <c r="M175" t="str">
        <f>IF(COUNTIF(Raw_Sales_Data3[Order ID],Raw_Sales_Data3[[#This Row],[Order ID]])&gt;1,"Duplicate Order ID","Unique Order ID")</f>
        <v>Unique Order ID</v>
      </c>
    </row>
    <row r="176" spans="1:13" x14ac:dyDescent="0.3">
      <c r="A176" t="s">
        <v>234</v>
      </c>
      <c r="B176" s="1"/>
      <c r="C176" t="s">
        <v>57</v>
      </c>
      <c r="D176" t="s">
        <v>23</v>
      </c>
      <c r="E176" t="s">
        <v>18</v>
      </c>
      <c r="F176" t="s">
        <v>14</v>
      </c>
      <c r="G176" t="s">
        <v>73</v>
      </c>
      <c r="H176" s="5">
        <v>2</v>
      </c>
      <c r="I176" s="3">
        <v>35256</v>
      </c>
      <c r="J176" s="10">
        <v>0</v>
      </c>
      <c r="K176" s="2">
        <v>70512</v>
      </c>
      <c r="L176" s="2">
        <f>Raw_Sales_Data3[[#This Row],[Quantity]]*Raw_Sales_Data3[[#This Row],[Unit Price]]*(Raw_Sales_Data3[[#This Row],[Discount %]]/100)</f>
        <v>0</v>
      </c>
      <c r="M176" t="str">
        <f>IF(COUNTIF(Raw_Sales_Data3[Order ID],Raw_Sales_Data3[[#This Row],[Order ID]])&gt;1,"Duplicate Order ID","Unique Order ID")</f>
        <v>Unique Order ID</v>
      </c>
    </row>
    <row r="177" spans="1:13" x14ac:dyDescent="0.3">
      <c r="A177" t="s">
        <v>235</v>
      </c>
      <c r="B177" s="1">
        <v>46050</v>
      </c>
      <c r="C177" t="s">
        <v>57</v>
      </c>
      <c r="D177" t="s">
        <v>70</v>
      </c>
      <c r="E177" t="s">
        <v>39</v>
      </c>
      <c r="F177" t="s">
        <v>24</v>
      </c>
      <c r="G177" t="s">
        <v>29</v>
      </c>
      <c r="H177" s="5">
        <v>2</v>
      </c>
      <c r="I177" s="3">
        <v>26076</v>
      </c>
      <c r="J177" s="10">
        <v>10</v>
      </c>
      <c r="K177" s="2">
        <v>46936.800000000003</v>
      </c>
      <c r="L177" s="2">
        <f>Raw_Sales_Data3[[#This Row],[Quantity]]*Raw_Sales_Data3[[#This Row],[Unit Price]]*(Raw_Sales_Data3[[#This Row],[Discount %]]/100)</f>
        <v>5215.2000000000007</v>
      </c>
      <c r="M177" t="str">
        <f>IF(COUNTIF(Raw_Sales_Data3[Order ID],Raw_Sales_Data3[[#This Row],[Order ID]])&gt;1,"Duplicate Order ID","Unique Order ID")</f>
        <v>Unique Order ID</v>
      </c>
    </row>
    <row r="178" spans="1:13" x14ac:dyDescent="0.3">
      <c r="A178" t="s">
        <v>236</v>
      </c>
      <c r="B178" s="1">
        <v>46095</v>
      </c>
      <c r="C178" t="s">
        <v>36</v>
      </c>
      <c r="D178" t="s">
        <v>58</v>
      </c>
      <c r="E178" t="s">
        <v>28</v>
      </c>
      <c r="F178" t="s">
        <v>19</v>
      </c>
      <c r="G178" t="s">
        <v>120</v>
      </c>
      <c r="H178" s="5">
        <v>1</v>
      </c>
      <c r="I178" s="3">
        <v>24533</v>
      </c>
      <c r="J178" s="10">
        <v>10</v>
      </c>
      <c r="K178" s="2">
        <v>22079.7</v>
      </c>
      <c r="L178" s="2">
        <f>Raw_Sales_Data3[[#This Row],[Quantity]]*Raw_Sales_Data3[[#This Row],[Unit Price]]*(Raw_Sales_Data3[[#This Row],[Discount %]]/100)</f>
        <v>2453.3000000000002</v>
      </c>
      <c r="M178" t="str">
        <f>IF(COUNTIF(Raw_Sales_Data3[Order ID],Raw_Sales_Data3[[#This Row],[Order ID]])&gt;1,"Duplicate Order ID","Unique Order ID")</f>
        <v>Unique Order ID</v>
      </c>
    </row>
    <row r="179" spans="1:13" x14ac:dyDescent="0.3">
      <c r="A179" t="s">
        <v>237</v>
      </c>
      <c r="B179" s="1">
        <v>46076</v>
      </c>
      <c r="C179" t="s">
        <v>27</v>
      </c>
      <c r="D179" t="s">
        <v>70</v>
      </c>
      <c r="E179" t="s">
        <v>39</v>
      </c>
      <c r="F179" t="s">
        <v>14</v>
      </c>
      <c r="G179" t="s">
        <v>98</v>
      </c>
      <c r="H179" s="5">
        <v>6</v>
      </c>
      <c r="I179" s="3">
        <v>36232</v>
      </c>
      <c r="J179" s="10">
        <v>0</v>
      </c>
      <c r="K179" s="2">
        <v>217392</v>
      </c>
      <c r="L179" s="2">
        <f>Raw_Sales_Data3[[#This Row],[Quantity]]*Raw_Sales_Data3[[#This Row],[Unit Price]]*(Raw_Sales_Data3[[#This Row],[Discount %]]/100)</f>
        <v>0</v>
      </c>
      <c r="M179" t="str">
        <f>IF(COUNTIF(Raw_Sales_Data3[Order ID],Raw_Sales_Data3[[#This Row],[Order ID]])&gt;1,"Duplicate Order ID","Unique Order ID")</f>
        <v>Unique Order ID</v>
      </c>
    </row>
    <row r="180" spans="1:13" x14ac:dyDescent="0.3">
      <c r="A180" t="s">
        <v>238</v>
      </c>
      <c r="B180" s="1">
        <v>46109</v>
      </c>
      <c r="C180" t="s">
        <v>45</v>
      </c>
      <c r="D180" t="s">
        <v>43</v>
      </c>
      <c r="E180" t="s">
        <v>39</v>
      </c>
      <c r="F180" t="s">
        <v>24</v>
      </c>
      <c r="G180" t="s">
        <v>71</v>
      </c>
      <c r="H180" s="5">
        <v>8</v>
      </c>
      <c r="I180" s="3">
        <v>32211</v>
      </c>
      <c r="J180" s="10">
        <v>5</v>
      </c>
      <c r="K180" s="2">
        <v>244803.6</v>
      </c>
      <c r="L180" s="2">
        <f>Raw_Sales_Data3[[#This Row],[Quantity]]*Raw_Sales_Data3[[#This Row],[Unit Price]]*(Raw_Sales_Data3[[#This Row],[Discount %]]/100)</f>
        <v>12884.400000000001</v>
      </c>
      <c r="M180" t="str">
        <f>IF(COUNTIF(Raw_Sales_Data3[Order ID],Raw_Sales_Data3[[#This Row],[Order ID]])&gt;1,"Duplicate Order ID","Unique Order ID")</f>
        <v>Duplicate Order ID</v>
      </c>
    </row>
    <row r="181" spans="1:13" x14ac:dyDescent="0.3">
      <c r="A181" t="s">
        <v>238</v>
      </c>
      <c r="B181" s="1">
        <v>46109</v>
      </c>
      <c r="C181" t="s">
        <v>36</v>
      </c>
      <c r="D181" t="s">
        <v>43</v>
      </c>
      <c r="E181" t="s">
        <v>13</v>
      </c>
      <c r="F181" t="s">
        <v>14</v>
      </c>
      <c r="G181" t="s">
        <v>73</v>
      </c>
      <c r="H181" s="5">
        <v>15</v>
      </c>
      <c r="I181" s="3">
        <v>22253</v>
      </c>
      <c r="J181" s="10">
        <v>0</v>
      </c>
      <c r="K181" s="2">
        <v>333795</v>
      </c>
      <c r="L181" s="2">
        <f>Raw_Sales_Data3[[#This Row],[Quantity]]*Raw_Sales_Data3[[#This Row],[Unit Price]]*(Raw_Sales_Data3[[#This Row],[Discount %]]/100)</f>
        <v>0</v>
      </c>
      <c r="M181" t="str">
        <f>IF(COUNTIF(Raw_Sales_Data3[Order ID],Raw_Sales_Data3[[#This Row],[Order ID]])&gt;1,"Duplicate Order ID","Unique Order ID")</f>
        <v>Duplicate Order ID</v>
      </c>
    </row>
    <row r="182" spans="1:13" x14ac:dyDescent="0.3">
      <c r="A182" t="s">
        <v>239</v>
      </c>
      <c r="B182" s="1">
        <v>46075</v>
      </c>
      <c r="C182" t="s">
        <v>54</v>
      </c>
      <c r="D182" t="s">
        <v>43</v>
      </c>
      <c r="E182" t="s">
        <v>18</v>
      </c>
      <c r="F182" t="s">
        <v>19</v>
      </c>
      <c r="G182" t="s">
        <v>79</v>
      </c>
      <c r="H182" s="5">
        <v>14</v>
      </c>
      <c r="I182" s="3">
        <v>27323</v>
      </c>
      <c r="J182" s="10">
        <v>20</v>
      </c>
      <c r="K182" s="2">
        <v>306017.59999999998</v>
      </c>
      <c r="L182" s="2">
        <f>Raw_Sales_Data3[[#This Row],[Quantity]]*Raw_Sales_Data3[[#This Row],[Unit Price]]*(Raw_Sales_Data3[[#This Row],[Discount %]]/100)</f>
        <v>76504.400000000009</v>
      </c>
      <c r="M182" t="str">
        <f>IF(COUNTIF(Raw_Sales_Data3[Order ID],Raw_Sales_Data3[[#This Row],[Order ID]])&gt;1,"Duplicate Order ID","Unique Order ID")</f>
        <v>Unique Order ID</v>
      </c>
    </row>
    <row r="183" spans="1:13" x14ac:dyDescent="0.3">
      <c r="A183" t="s">
        <v>240</v>
      </c>
      <c r="B183" s="1">
        <v>46025</v>
      </c>
      <c r="C183" t="s">
        <v>27</v>
      </c>
      <c r="D183" t="s">
        <v>58</v>
      </c>
      <c r="E183" t="s">
        <v>18</v>
      </c>
      <c r="F183" t="s">
        <v>19</v>
      </c>
      <c r="G183" t="s">
        <v>40</v>
      </c>
      <c r="H183" s="5">
        <v>3</v>
      </c>
      <c r="I183" s="3">
        <v>47828</v>
      </c>
      <c r="J183" s="10">
        <v>5</v>
      </c>
      <c r="K183" s="2">
        <v>136309.79999999999</v>
      </c>
      <c r="L183" s="2">
        <f>Raw_Sales_Data3[[#This Row],[Quantity]]*Raw_Sales_Data3[[#This Row],[Unit Price]]*(Raw_Sales_Data3[[#This Row],[Discount %]]/100)</f>
        <v>7174.2000000000007</v>
      </c>
      <c r="M183" t="str">
        <f>IF(COUNTIF(Raw_Sales_Data3[Order ID],Raw_Sales_Data3[[#This Row],[Order ID]])&gt;1,"Duplicate Order ID","Unique Order ID")</f>
        <v>Unique Order ID</v>
      </c>
    </row>
    <row r="184" spans="1:13" x14ac:dyDescent="0.3">
      <c r="A184" t="s">
        <v>241</v>
      </c>
      <c r="B184" s="1">
        <v>46034</v>
      </c>
      <c r="C184" t="s">
        <v>27</v>
      </c>
      <c r="D184" t="s">
        <v>23</v>
      </c>
      <c r="E184" t="s">
        <v>18</v>
      </c>
      <c r="F184" t="s">
        <v>19</v>
      </c>
      <c r="G184" t="s">
        <v>79</v>
      </c>
      <c r="H184" s="5">
        <v>14</v>
      </c>
      <c r="I184" s="3">
        <v>23322</v>
      </c>
      <c r="J184" s="10">
        <v>15</v>
      </c>
      <c r="K184" s="2">
        <v>277531.8</v>
      </c>
      <c r="L184" s="2">
        <f>Raw_Sales_Data3[[#This Row],[Quantity]]*Raw_Sales_Data3[[#This Row],[Unit Price]]*(Raw_Sales_Data3[[#This Row],[Discount %]]/100)</f>
        <v>48976.2</v>
      </c>
      <c r="M184" t="str">
        <f>IF(COUNTIF(Raw_Sales_Data3[Order ID],Raw_Sales_Data3[[#This Row],[Order ID]])&gt;1,"Duplicate Order ID","Unique Order ID")</f>
        <v>Unique Order ID</v>
      </c>
    </row>
    <row r="185" spans="1:13" x14ac:dyDescent="0.3">
      <c r="A185" t="s">
        <v>242</v>
      </c>
      <c r="B185" s="1">
        <v>46074</v>
      </c>
      <c r="C185" t="s">
        <v>33</v>
      </c>
      <c r="D185" t="s">
        <v>23</v>
      </c>
      <c r="E185" t="s">
        <v>13</v>
      </c>
      <c r="F185" t="s">
        <v>19</v>
      </c>
      <c r="G185" t="s">
        <v>46</v>
      </c>
      <c r="H185" s="5">
        <v>8</v>
      </c>
      <c r="I185" s="3">
        <v>53428</v>
      </c>
      <c r="J185" s="10">
        <v>0</v>
      </c>
      <c r="K185" s="2">
        <v>363310.4</v>
      </c>
      <c r="L185" s="2">
        <f>Raw_Sales_Data3[[#This Row],[Quantity]]*Raw_Sales_Data3[[#This Row],[Unit Price]]*(Raw_Sales_Data3[[#This Row],[Discount %]]/100)</f>
        <v>0</v>
      </c>
      <c r="M185" t="str">
        <f>IF(COUNTIF(Raw_Sales_Data3[Order ID],Raw_Sales_Data3[[#This Row],[Order ID]])&gt;1,"Duplicate Order ID","Unique Order ID")</f>
        <v>Unique Order ID</v>
      </c>
    </row>
    <row r="186" spans="1:13" x14ac:dyDescent="0.3">
      <c r="A186" t="s">
        <v>243</v>
      </c>
      <c r="B186" s="1">
        <v>46106</v>
      </c>
      <c r="C186" t="s">
        <v>36</v>
      </c>
      <c r="D186" t="s">
        <v>70</v>
      </c>
      <c r="E186" t="s">
        <v>18</v>
      </c>
      <c r="F186" t="s">
        <v>19</v>
      </c>
      <c r="G186" t="s">
        <v>120</v>
      </c>
      <c r="H186" s="5">
        <v>11</v>
      </c>
      <c r="I186" s="3">
        <v>25394</v>
      </c>
      <c r="J186" s="10">
        <v>5</v>
      </c>
      <c r="K186" s="2">
        <v>265367.3</v>
      </c>
      <c r="L186" s="2">
        <f>Raw_Sales_Data3[[#This Row],[Quantity]]*Raw_Sales_Data3[[#This Row],[Unit Price]]*(Raw_Sales_Data3[[#This Row],[Discount %]]/100)</f>
        <v>13966.7</v>
      </c>
      <c r="M186" t="str">
        <f>IF(COUNTIF(Raw_Sales_Data3[Order ID],Raw_Sales_Data3[[#This Row],[Order ID]])&gt;1,"Duplicate Order ID","Unique Order ID")</f>
        <v>Unique Order ID</v>
      </c>
    </row>
    <row r="187" spans="1:13" x14ac:dyDescent="0.3">
      <c r="A187" t="s">
        <v>244</v>
      </c>
      <c r="B187" s="1">
        <v>46100</v>
      </c>
      <c r="C187" t="s">
        <v>91</v>
      </c>
      <c r="D187" t="s">
        <v>43</v>
      </c>
      <c r="E187" t="s">
        <v>13</v>
      </c>
      <c r="F187" t="s">
        <v>19</v>
      </c>
      <c r="G187" t="s">
        <v>59</v>
      </c>
      <c r="H187" s="5">
        <v>6</v>
      </c>
      <c r="I187" s="3">
        <v>45637</v>
      </c>
      <c r="J187" s="10">
        <v>10</v>
      </c>
      <c r="K187" s="2">
        <v>246439.8</v>
      </c>
      <c r="L187" s="2">
        <f>Raw_Sales_Data3[[#This Row],[Quantity]]*Raw_Sales_Data3[[#This Row],[Unit Price]]*(Raw_Sales_Data3[[#This Row],[Discount %]]/100)</f>
        <v>27382.2</v>
      </c>
      <c r="M187" t="str">
        <f>IF(COUNTIF(Raw_Sales_Data3[Order ID],Raw_Sales_Data3[[#This Row],[Order ID]])&gt;1,"Duplicate Order ID","Unique Order ID")</f>
        <v>Unique Order ID</v>
      </c>
    </row>
    <row r="188" spans="1:13" x14ac:dyDescent="0.3">
      <c r="A188" t="s">
        <v>245</v>
      </c>
      <c r="B188" s="1">
        <v>46058</v>
      </c>
      <c r="C188" t="s">
        <v>57</v>
      </c>
      <c r="D188" t="s">
        <v>43</v>
      </c>
      <c r="E188" t="s">
        <v>18</v>
      </c>
      <c r="F188" t="s">
        <v>14</v>
      </c>
      <c r="G188" t="s">
        <v>120</v>
      </c>
      <c r="H188" s="5">
        <v>11</v>
      </c>
      <c r="I188" s="3">
        <v>54220</v>
      </c>
      <c r="J188" s="10">
        <v>15</v>
      </c>
      <c r="K188" s="2">
        <v>506957</v>
      </c>
      <c r="L188" s="2">
        <f>Raw_Sales_Data3[[#This Row],[Quantity]]*Raw_Sales_Data3[[#This Row],[Unit Price]]*(Raw_Sales_Data3[[#This Row],[Discount %]]/100)</f>
        <v>89463</v>
      </c>
      <c r="M188" t="str">
        <f>IF(COUNTIF(Raw_Sales_Data3[Order ID],Raw_Sales_Data3[[#This Row],[Order ID]])&gt;1,"Duplicate Order ID","Unique Order ID")</f>
        <v>Unique Order ID</v>
      </c>
    </row>
    <row r="189" spans="1:13" x14ac:dyDescent="0.3">
      <c r="A189" t="s">
        <v>246</v>
      </c>
      <c r="B189" s="1">
        <v>46051</v>
      </c>
      <c r="C189" t="s">
        <v>22</v>
      </c>
      <c r="D189" t="s">
        <v>70</v>
      </c>
      <c r="E189" t="s">
        <v>39</v>
      </c>
      <c r="F189" t="s">
        <v>14</v>
      </c>
      <c r="G189" t="s">
        <v>73</v>
      </c>
      <c r="H189" s="5">
        <v>1</v>
      </c>
      <c r="I189" s="3">
        <v>17664</v>
      </c>
      <c r="J189" s="10">
        <v>0</v>
      </c>
      <c r="K189" s="2">
        <v>17664</v>
      </c>
      <c r="L189" s="2">
        <f>Raw_Sales_Data3[[#This Row],[Quantity]]*Raw_Sales_Data3[[#This Row],[Unit Price]]*(Raw_Sales_Data3[[#This Row],[Discount %]]/100)</f>
        <v>0</v>
      </c>
      <c r="M189" t="str">
        <f>IF(COUNTIF(Raw_Sales_Data3[Order ID],Raw_Sales_Data3[[#This Row],[Order ID]])&gt;1,"Duplicate Order ID","Unique Order ID")</f>
        <v>Unique Order ID</v>
      </c>
    </row>
    <row r="190" spans="1:13" x14ac:dyDescent="0.3">
      <c r="A190" t="s">
        <v>247</v>
      </c>
      <c r="B190" s="1">
        <v>46109</v>
      </c>
      <c r="C190" t="s">
        <v>22</v>
      </c>
      <c r="D190" t="s">
        <v>70</v>
      </c>
      <c r="E190" t="s">
        <v>39</v>
      </c>
      <c r="F190" t="s">
        <v>14</v>
      </c>
      <c r="G190" t="s">
        <v>98</v>
      </c>
      <c r="H190" s="5">
        <v>14</v>
      </c>
      <c r="I190" s="3">
        <v>10427</v>
      </c>
      <c r="J190" s="10">
        <v>5</v>
      </c>
      <c r="K190" s="2">
        <v>138679.1</v>
      </c>
      <c r="L190" s="2">
        <f>Raw_Sales_Data3[[#This Row],[Quantity]]*Raw_Sales_Data3[[#This Row],[Unit Price]]*(Raw_Sales_Data3[[#This Row],[Discount %]]/100)</f>
        <v>7298.9000000000005</v>
      </c>
      <c r="M190" t="str">
        <f>IF(COUNTIF(Raw_Sales_Data3[Order ID],Raw_Sales_Data3[[#This Row],[Order ID]])&gt;1,"Duplicate Order ID","Unique Order ID")</f>
        <v>Unique Order ID</v>
      </c>
    </row>
    <row r="191" spans="1:13" x14ac:dyDescent="0.3">
      <c r="A191" t="s">
        <v>248</v>
      </c>
      <c r="B191" s="1">
        <v>46069</v>
      </c>
      <c r="C191" t="s">
        <v>12</v>
      </c>
      <c r="D191" t="s">
        <v>70</v>
      </c>
      <c r="E191" t="s">
        <v>39</v>
      </c>
      <c r="F191" t="s">
        <v>24</v>
      </c>
      <c r="G191" t="s">
        <v>25</v>
      </c>
      <c r="H191" s="5">
        <v>14</v>
      </c>
      <c r="I191" s="3">
        <v>4434</v>
      </c>
      <c r="J191" s="10">
        <v>0</v>
      </c>
      <c r="K191" s="2">
        <v>62076</v>
      </c>
      <c r="L191" s="2">
        <f>Raw_Sales_Data3[[#This Row],[Quantity]]*Raw_Sales_Data3[[#This Row],[Unit Price]]*(Raw_Sales_Data3[[#This Row],[Discount %]]/100)</f>
        <v>0</v>
      </c>
      <c r="M191" t="str">
        <f>IF(COUNTIF(Raw_Sales_Data3[Order ID],Raw_Sales_Data3[[#This Row],[Order ID]])&gt;1,"Duplicate Order ID","Unique Order ID")</f>
        <v>Unique Order ID</v>
      </c>
    </row>
    <row r="192" spans="1:13" x14ac:dyDescent="0.3">
      <c r="A192" t="s">
        <v>249</v>
      </c>
      <c r="B192" s="1">
        <v>46030</v>
      </c>
      <c r="C192" t="s">
        <v>91</v>
      </c>
      <c r="D192" t="s">
        <v>58</v>
      </c>
      <c r="E192" t="s">
        <v>34</v>
      </c>
      <c r="F192" t="s">
        <v>19</v>
      </c>
      <c r="G192" t="s">
        <v>46</v>
      </c>
      <c r="H192" s="5">
        <v>11</v>
      </c>
      <c r="I192" s="3">
        <v>43706</v>
      </c>
      <c r="J192" s="10">
        <v>20</v>
      </c>
      <c r="K192" s="2">
        <v>384612.8</v>
      </c>
      <c r="L192" s="2">
        <f>Raw_Sales_Data3[[#This Row],[Quantity]]*Raw_Sales_Data3[[#This Row],[Unit Price]]*(Raw_Sales_Data3[[#This Row],[Discount %]]/100)</f>
        <v>96153.200000000012</v>
      </c>
      <c r="M192" t="str">
        <f>IF(COUNTIF(Raw_Sales_Data3[Order ID],Raw_Sales_Data3[[#This Row],[Order ID]])&gt;1,"Duplicate Order ID","Unique Order ID")</f>
        <v>Unique Order ID</v>
      </c>
    </row>
    <row r="193" spans="1:13" x14ac:dyDescent="0.3">
      <c r="A193" t="s">
        <v>250</v>
      </c>
      <c r="B193" s="1">
        <v>46092</v>
      </c>
      <c r="C193" t="s">
        <v>33</v>
      </c>
      <c r="D193" t="s">
        <v>43</v>
      </c>
      <c r="E193" t="s">
        <v>34</v>
      </c>
      <c r="F193" t="s">
        <v>14</v>
      </c>
      <c r="G193" t="s">
        <v>98</v>
      </c>
      <c r="H193" s="5">
        <v>8</v>
      </c>
      <c r="I193" s="3">
        <v>884</v>
      </c>
      <c r="J193" s="10">
        <v>5</v>
      </c>
      <c r="K193" s="2">
        <v>6718.4</v>
      </c>
      <c r="L193" s="2">
        <f>Raw_Sales_Data3[[#This Row],[Quantity]]*Raw_Sales_Data3[[#This Row],[Unit Price]]*(Raw_Sales_Data3[[#This Row],[Discount %]]/100)</f>
        <v>353.6</v>
      </c>
      <c r="M193" t="str">
        <f>IF(COUNTIF(Raw_Sales_Data3[Order ID],Raw_Sales_Data3[[#This Row],[Order ID]])&gt;1,"Duplicate Order ID","Unique Order ID")</f>
        <v>Unique Order ID</v>
      </c>
    </row>
    <row r="194" spans="1:13" x14ac:dyDescent="0.3">
      <c r="A194" t="s">
        <v>251</v>
      </c>
      <c r="B194" s="1">
        <v>46055</v>
      </c>
      <c r="C194" t="s">
        <v>38</v>
      </c>
      <c r="D194" t="s">
        <v>70</v>
      </c>
      <c r="E194" t="s">
        <v>39</v>
      </c>
      <c r="F194" t="s">
        <v>14</v>
      </c>
      <c r="G194" t="s">
        <v>73</v>
      </c>
      <c r="H194" s="5">
        <v>4</v>
      </c>
      <c r="I194" s="3">
        <v>58399</v>
      </c>
      <c r="J194" s="10">
        <v>0</v>
      </c>
      <c r="K194" s="2">
        <v>233596</v>
      </c>
      <c r="L194" s="2">
        <f>Raw_Sales_Data3[[#This Row],[Quantity]]*Raw_Sales_Data3[[#This Row],[Unit Price]]*(Raw_Sales_Data3[[#This Row],[Discount %]]/100)</f>
        <v>0</v>
      </c>
      <c r="M194" t="str">
        <f>IF(COUNTIF(Raw_Sales_Data3[Order ID],Raw_Sales_Data3[[#This Row],[Order ID]])&gt;1,"Duplicate Order ID","Unique Order ID")</f>
        <v>Unique Order ID</v>
      </c>
    </row>
    <row r="195" spans="1:13" x14ac:dyDescent="0.3">
      <c r="A195" t="s">
        <v>252</v>
      </c>
      <c r="B195" s="1">
        <v>46057</v>
      </c>
      <c r="C195" t="s">
        <v>45</v>
      </c>
      <c r="D195" t="s">
        <v>70</v>
      </c>
      <c r="E195" t="s">
        <v>13</v>
      </c>
      <c r="F195" t="s">
        <v>19</v>
      </c>
      <c r="G195" t="s">
        <v>20</v>
      </c>
      <c r="H195" s="5">
        <v>8</v>
      </c>
      <c r="I195" s="3">
        <v>25574</v>
      </c>
      <c r="J195" s="10">
        <v>10</v>
      </c>
      <c r="K195" s="2">
        <v>184132.8</v>
      </c>
      <c r="L195" s="2">
        <f>Raw_Sales_Data3[[#This Row],[Quantity]]*Raw_Sales_Data3[[#This Row],[Unit Price]]*(Raw_Sales_Data3[[#This Row],[Discount %]]/100)</f>
        <v>20459.2</v>
      </c>
      <c r="M195" t="str">
        <f>IF(COUNTIF(Raw_Sales_Data3[Order ID],Raw_Sales_Data3[[#This Row],[Order ID]])&gt;1,"Duplicate Order ID","Unique Order ID")</f>
        <v>Unique Order ID</v>
      </c>
    </row>
    <row r="196" spans="1:13" x14ac:dyDescent="0.3">
      <c r="A196" t="s">
        <v>253</v>
      </c>
      <c r="B196" s="1">
        <v>46096</v>
      </c>
      <c r="C196" t="s">
        <v>89</v>
      </c>
      <c r="D196" t="s">
        <v>23</v>
      </c>
      <c r="E196" t="s">
        <v>34</v>
      </c>
      <c r="F196" t="s">
        <v>19</v>
      </c>
      <c r="G196" t="s">
        <v>120</v>
      </c>
      <c r="H196" s="5">
        <v>14</v>
      </c>
      <c r="I196" s="3">
        <v>41628</v>
      </c>
      <c r="J196" s="10">
        <v>5</v>
      </c>
      <c r="K196" s="2">
        <v>553652.4</v>
      </c>
      <c r="L196" s="2">
        <f>Raw_Sales_Data3[[#This Row],[Quantity]]*Raw_Sales_Data3[[#This Row],[Unit Price]]*(Raw_Sales_Data3[[#This Row],[Discount %]]/100)</f>
        <v>29139.600000000002</v>
      </c>
      <c r="M196" t="str">
        <f>IF(COUNTIF(Raw_Sales_Data3[Order ID],Raw_Sales_Data3[[#This Row],[Order ID]])&gt;1,"Duplicate Order ID","Unique Order ID")</f>
        <v>Unique Order ID</v>
      </c>
    </row>
    <row r="197" spans="1:13" x14ac:dyDescent="0.3">
      <c r="A197" t="s">
        <v>254</v>
      </c>
      <c r="B197" s="1">
        <v>46107</v>
      </c>
      <c r="C197" t="s">
        <v>17</v>
      </c>
      <c r="D197" t="s">
        <v>58</v>
      </c>
      <c r="E197" t="s">
        <v>34</v>
      </c>
      <c r="F197" t="s">
        <v>19</v>
      </c>
      <c r="G197" t="s">
        <v>79</v>
      </c>
      <c r="H197" s="5">
        <v>13</v>
      </c>
      <c r="I197" s="3">
        <v>47782</v>
      </c>
      <c r="J197" s="10">
        <v>15</v>
      </c>
      <c r="K197" s="2">
        <v>527991.1</v>
      </c>
      <c r="L197" s="2">
        <f>Raw_Sales_Data3[[#This Row],[Quantity]]*Raw_Sales_Data3[[#This Row],[Unit Price]]*(Raw_Sales_Data3[[#This Row],[Discount %]]/100)</f>
        <v>93174.9</v>
      </c>
      <c r="M197" t="str">
        <f>IF(COUNTIF(Raw_Sales_Data3[Order ID],Raw_Sales_Data3[[#This Row],[Order ID]])&gt;1,"Duplicate Order ID","Unique Order ID")</f>
        <v>Unique Order ID</v>
      </c>
    </row>
    <row r="198" spans="1:13" x14ac:dyDescent="0.3">
      <c r="A198" t="s">
        <v>255</v>
      </c>
      <c r="B198" s="1">
        <v>46023</v>
      </c>
      <c r="C198" t="s">
        <v>57</v>
      </c>
      <c r="D198" t="s">
        <v>58</v>
      </c>
      <c r="E198" t="s">
        <v>13</v>
      </c>
      <c r="F198" t="s">
        <v>24</v>
      </c>
      <c r="G198" t="s">
        <v>25</v>
      </c>
      <c r="H198" s="5">
        <v>5</v>
      </c>
      <c r="I198" s="3">
        <v>28327</v>
      </c>
      <c r="J198" s="10">
        <v>0</v>
      </c>
      <c r="K198" s="2">
        <v>141635</v>
      </c>
      <c r="L198" s="2">
        <f>Raw_Sales_Data3[[#This Row],[Quantity]]*Raw_Sales_Data3[[#This Row],[Unit Price]]*(Raw_Sales_Data3[[#This Row],[Discount %]]/100)</f>
        <v>0</v>
      </c>
      <c r="M198" t="str">
        <f>IF(COUNTIF(Raw_Sales_Data3[Order ID],Raw_Sales_Data3[[#This Row],[Order ID]])&gt;1,"Duplicate Order ID","Unique Order ID")</f>
        <v>Unique Order ID</v>
      </c>
    </row>
    <row r="199" spans="1:13" x14ac:dyDescent="0.3">
      <c r="A199" t="s">
        <v>256</v>
      </c>
      <c r="B199" s="1">
        <v>46027</v>
      </c>
      <c r="C199" t="s">
        <v>89</v>
      </c>
      <c r="D199" t="s">
        <v>58</v>
      </c>
      <c r="E199" t="s">
        <v>18</v>
      </c>
      <c r="F199" t="s">
        <v>14</v>
      </c>
      <c r="G199" t="s">
        <v>66</v>
      </c>
      <c r="H199" s="5">
        <v>13</v>
      </c>
      <c r="I199" s="3">
        <v>44806</v>
      </c>
      <c r="J199" s="10">
        <v>0</v>
      </c>
      <c r="K199" s="2">
        <v>582478</v>
      </c>
      <c r="L199" s="2">
        <f>Raw_Sales_Data3[[#This Row],[Quantity]]*Raw_Sales_Data3[[#This Row],[Unit Price]]*(Raw_Sales_Data3[[#This Row],[Discount %]]/100)</f>
        <v>0</v>
      </c>
      <c r="M199" t="str">
        <f>IF(COUNTIF(Raw_Sales_Data3[Order ID],Raw_Sales_Data3[[#This Row],[Order ID]])&gt;1,"Duplicate Order ID","Unique Order ID")</f>
        <v>Unique Order ID</v>
      </c>
    </row>
    <row r="200" spans="1:13" x14ac:dyDescent="0.3">
      <c r="A200" t="s">
        <v>257</v>
      </c>
      <c r="B200" s="1">
        <v>46077</v>
      </c>
      <c r="C200" t="s">
        <v>22</v>
      </c>
      <c r="D200" t="s">
        <v>58</v>
      </c>
      <c r="E200" t="s">
        <v>28</v>
      </c>
      <c r="F200" t="s">
        <v>19</v>
      </c>
      <c r="G200" t="s">
        <v>147</v>
      </c>
      <c r="H200" s="5">
        <v>14</v>
      </c>
      <c r="I200" s="3">
        <v>16075</v>
      </c>
      <c r="J200" s="10">
        <v>10</v>
      </c>
      <c r="K200" s="2">
        <v>202545</v>
      </c>
      <c r="L200" s="2">
        <f>Raw_Sales_Data3[[#This Row],[Quantity]]*Raw_Sales_Data3[[#This Row],[Unit Price]]*(Raw_Sales_Data3[[#This Row],[Discount %]]/100)</f>
        <v>22505</v>
      </c>
      <c r="M200" t="str">
        <f>IF(COUNTIF(Raw_Sales_Data3[Order ID],Raw_Sales_Data3[[#This Row],[Order ID]])&gt;1,"Duplicate Order ID","Unique Order ID")</f>
        <v>Unique Order ID</v>
      </c>
    </row>
    <row r="201" spans="1:13" x14ac:dyDescent="0.3">
      <c r="A201" t="s">
        <v>258</v>
      </c>
      <c r="B201" s="1">
        <v>46067</v>
      </c>
      <c r="C201" t="s">
        <v>69</v>
      </c>
      <c r="D201" t="s">
        <v>70</v>
      </c>
      <c r="E201" t="s">
        <v>34</v>
      </c>
      <c r="F201" t="s">
        <v>19</v>
      </c>
      <c r="G201" t="s">
        <v>40</v>
      </c>
      <c r="H201" s="5">
        <v>15</v>
      </c>
      <c r="I201" s="3">
        <v>29988</v>
      </c>
      <c r="J201" s="10">
        <v>0</v>
      </c>
      <c r="K201" s="2">
        <v>449820</v>
      </c>
      <c r="L201" s="2">
        <f>Raw_Sales_Data3[[#This Row],[Quantity]]*Raw_Sales_Data3[[#This Row],[Unit Price]]*(Raw_Sales_Data3[[#This Row],[Discount %]]/100)</f>
        <v>0</v>
      </c>
      <c r="M201" t="str">
        <f>IF(COUNTIF(Raw_Sales_Data3[Order ID],Raw_Sales_Data3[[#This Row],[Order ID]])&gt;1,"Duplicate Order ID","Unique Order ID")</f>
        <v>Unique Order ID</v>
      </c>
    </row>
    <row r="202" spans="1:13" x14ac:dyDescent="0.3">
      <c r="A202" t="s">
        <v>259</v>
      </c>
      <c r="B202" s="1">
        <v>46072</v>
      </c>
      <c r="C202" t="s">
        <v>36</v>
      </c>
      <c r="D202" t="s">
        <v>43</v>
      </c>
      <c r="E202" t="s">
        <v>13</v>
      </c>
      <c r="F202" t="s">
        <v>24</v>
      </c>
      <c r="G202" t="s">
        <v>25</v>
      </c>
      <c r="H202" s="5">
        <v>6</v>
      </c>
      <c r="I202" s="3">
        <v>14336</v>
      </c>
      <c r="J202" s="10">
        <v>5</v>
      </c>
      <c r="K202" s="2">
        <v>81715.199999999997</v>
      </c>
      <c r="L202" s="2">
        <f>Raw_Sales_Data3[[#This Row],[Quantity]]*Raw_Sales_Data3[[#This Row],[Unit Price]]*(Raw_Sales_Data3[[#This Row],[Discount %]]/100)</f>
        <v>4300.8</v>
      </c>
      <c r="M202" t="str">
        <f>IF(COUNTIF(Raw_Sales_Data3[Order ID],Raw_Sales_Data3[[#This Row],[Order ID]])&gt;1,"Duplicate Order ID","Unique Order ID")</f>
        <v>Unique Order ID</v>
      </c>
    </row>
    <row r="203" spans="1:13" x14ac:dyDescent="0.3">
      <c r="A203" t="s">
        <v>260</v>
      </c>
      <c r="B203" s="1">
        <v>46071</v>
      </c>
      <c r="C203" t="s">
        <v>57</v>
      </c>
      <c r="D203" t="s">
        <v>58</v>
      </c>
      <c r="E203" t="s">
        <v>13</v>
      </c>
      <c r="F203" t="s">
        <v>14</v>
      </c>
      <c r="G203" t="s">
        <v>73</v>
      </c>
      <c r="H203" s="5">
        <v>2</v>
      </c>
      <c r="I203" s="3">
        <f>K203/H203</f>
        <v>9943</v>
      </c>
      <c r="J203" s="10">
        <v>0</v>
      </c>
      <c r="K203" s="2">
        <v>19886</v>
      </c>
      <c r="L203" s="2">
        <f>Raw_Sales_Data3[[#This Row],[Quantity]]*Raw_Sales_Data3[[#This Row],[Unit Price]]*(Raw_Sales_Data3[[#This Row],[Discount %]]/100)</f>
        <v>0</v>
      </c>
      <c r="M203" t="str">
        <f>IF(COUNTIF(Raw_Sales_Data3[Order ID],Raw_Sales_Data3[[#This Row],[Order ID]])&gt;1,"Duplicate Order ID","Unique Order ID")</f>
        <v>Unique Order ID</v>
      </c>
    </row>
    <row r="204" spans="1:13" x14ac:dyDescent="0.3">
      <c r="A204" t="s">
        <v>261</v>
      </c>
      <c r="B204" s="1">
        <v>46101</v>
      </c>
      <c r="C204" t="s">
        <v>33</v>
      </c>
      <c r="D204" t="s">
        <v>23</v>
      </c>
      <c r="E204" t="s">
        <v>34</v>
      </c>
      <c r="F204" t="s">
        <v>24</v>
      </c>
      <c r="G204" t="s">
        <v>71</v>
      </c>
      <c r="H204" s="5">
        <v>15</v>
      </c>
      <c r="I204" s="3">
        <v>1860</v>
      </c>
      <c r="J204" s="10">
        <v>5</v>
      </c>
      <c r="K204" s="2">
        <v>26505</v>
      </c>
      <c r="L204" s="2">
        <f>Raw_Sales_Data3[[#This Row],[Quantity]]*Raw_Sales_Data3[[#This Row],[Unit Price]]*(Raw_Sales_Data3[[#This Row],[Discount %]]/100)</f>
        <v>1395</v>
      </c>
      <c r="M204" t="str">
        <f>IF(COUNTIF(Raw_Sales_Data3[Order ID],Raw_Sales_Data3[[#This Row],[Order ID]])&gt;1,"Duplicate Order ID","Unique Order ID")</f>
        <v>Unique Order ID</v>
      </c>
    </row>
    <row r="205" spans="1:13" x14ac:dyDescent="0.3">
      <c r="A205" t="s">
        <v>262</v>
      </c>
      <c r="B205" s="1">
        <v>46023</v>
      </c>
      <c r="C205" t="s">
        <v>27</v>
      </c>
      <c r="D205" t="s">
        <v>58</v>
      </c>
      <c r="E205" t="s">
        <v>28</v>
      </c>
      <c r="F205" t="s">
        <v>14</v>
      </c>
      <c r="G205" t="s">
        <v>73</v>
      </c>
      <c r="H205" s="5">
        <v>13</v>
      </c>
      <c r="I205" s="3">
        <v>21711</v>
      </c>
      <c r="J205" s="10">
        <v>5</v>
      </c>
      <c r="K205" s="2">
        <v>268130.84999999998</v>
      </c>
      <c r="L205" s="2">
        <f>Raw_Sales_Data3[[#This Row],[Quantity]]*Raw_Sales_Data3[[#This Row],[Unit Price]]*(Raw_Sales_Data3[[#This Row],[Discount %]]/100)</f>
        <v>14112.150000000001</v>
      </c>
      <c r="M205" t="str">
        <f>IF(COUNTIF(Raw_Sales_Data3[Order ID],Raw_Sales_Data3[[#This Row],[Order ID]])&gt;1,"Duplicate Order ID","Unique Order ID")</f>
        <v>Unique Order ID</v>
      </c>
    </row>
    <row r="206" spans="1:13" x14ac:dyDescent="0.3">
      <c r="A206" t="s">
        <v>263</v>
      </c>
      <c r="B206" s="1">
        <v>46047</v>
      </c>
      <c r="C206" t="s">
        <v>86</v>
      </c>
      <c r="D206" t="s">
        <v>43</v>
      </c>
      <c r="E206" t="s">
        <v>28</v>
      </c>
      <c r="F206" t="s">
        <v>24</v>
      </c>
      <c r="G206" t="s">
        <v>55</v>
      </c>
      <c r="H206" s="5">
        <v>11</v>
      </c>
      <c r="I206" s="3">
        <v>39984</v>
      </c>
      <c r="J206" s="10">
        <v>15</v>
      </c>
      <c r="K206" s="2">
        <v>373850.4</v>
      </c>
      <c r="L206" s="2">
        <f>Raw_Sales_Data3[[#This Row],[Quantity]]*Raw_Sales_Data3[[#This Row],[Unit Price]]*(Raw_Sales_Data3[[#This Row],[Discount %]]/100)</f>
        <v>65973.599999999991</v>
      </c>
      <c r="M206" t="str">
        <f>IF(COUNTIF(Raw_Sales_Data3[Order ID],Raw_Sales_Data3[[#This Row],[Order ID]])&gt;1,"Duplicate Order ID","Unique Order ID")</f>
        <v>Unique Order ID</v>
      </c>
    </row>
    <row r="207" spans="1:13" x14ac:dyDescent="0.3">
      <c r="A207" t="s">
        <v>264</v>
      </c>
      <c r="B207" s="1">
        <v>46031</v>
      </c>
      <c r="C207" t="s">
        <v>86</v>
      </c>
      <c r="D207" t="s">
        <v>23</v>
      </c>
      <c r="E207" t="s">
        <v>39</v>
      </c>
      <c r="F207" t="s">
        <v>24</v>
      </c>
      <c r="G207" t="s">
        <v>77</v>
      </c>
      <c r="H207" s="5">
        <v>3</v>
      </c>
      <c r="I207" s="3">
        <v>24468</v>
      </c>
      <c r="J207" s="10">
        <v>10</v>
      </c>
      <c r="K207" s="2">
        <v>66063.600000000006</v>
      </c>
      <c r="L207" s="2">
        <f>Raw_Sales_Data3[[#This Row],[Quantity]]*Raw_Sales_Data3[[#This Row],[Unit Price]]*(Raw_Sales_Data3[[#This Row],[Discount %]]/100)</f>
        <v>7340.4000000000005</v>
      </c>
      <c r="M207" t="str">
        <f>IF(COUNTIF(Raw_Sales_Data3[Order ID],Raw_Sales_Data3[[#This Row],[Order ID]])&gt;1,"Duplicate Order ID","Unique Order ID")</f>
        <v>Unique Order ID</v>
      </c>
    </row>
    <row r="208" spans="1:13" x14ac:dyDescent="0.3">
      <c r="A208" t="s">
        <v>265</v>
      </c>
      <c r="B208" s="1">
        <v>46112</v>
      </c>
      <c r="C208" t="s">
        <v>50</v>
      </c>
      <c r="D208" t="s">
        <v>43</v>
      </c>
      <c r="E208" t="s">
        <v>39</v>
      </c>
      <c r="F208" t="s">
        <v>14</v>
      </c>
      <c r="G208" t="s">
        <v>15</v>
      </c>
      <c r="H208" s="5">
        <v>11</v>
      </c>
      <c r="I208" s="3">
        <v>43021</v>
      </c>
      <c r="J208" s="10">
        <v>0</v>
      </c>
      <c r="K208" s="2">
        <v>473231</v>
      </c>
      <c r="L208" s="2">
        <f>Raw_Sales_Data3[[#This Row],[Quantity]]*Raw_Sales_Data3[[#This Row],[Unit Price]]*(Raw_Sales_Data3[[#This Row],[Discount %]]/100)</f>
        <v>0</v>
      </c>
      <c r="M208" t="str">
        <f>IF(COUNTIF(Raw_Sales_Data3[Order ID],Raw_Sales_Data3[[#This Row],[Order ID]])&gt;1,"Duplicate Order ID","Unique Order ID")</f>
        <v>Unique Order ID</v>
      </c>
    </row>
    <row r="209" spans="1:13" x14ac:dyDescent="0.3">
      <c r="A209" t="s">
        <v>266</v>
      </c>
      <c r="B209" s="1">
        <v>46031</v>
      </c>
      <c r="C209" t="s">
        <v>36</v>
      </c>
      <c r="D209" t="s">
        <v>23</v>
      </c>
      <c r="E209" t="s">
        <v>39</v>
      </c>
      <c r="F209" t="s">
        <v>19</v>
      </c>
      <c r="G209" t="s">
        <v>79</v>
      </c>
      <c r="H209" s="5">
        <v>6</v>
      </c>
      <c r="I209" s="3">
        <v>21800</v>
      </c>
      <c r="J209" s="10">
        <v>0</v>
      </c>
      <c r="K209" s="2">
        <v>130800</v>
      </c>
      <c r="L209" s="2">
        <f>Raw_Sales_Data3[[#This Row],[Quantity]]*Raw_Sales_Data3[[#This Row],[Unit Price]]*(Raw_Sales_Data3[[#This Row],[Discount %]]/100)</f>
        <v>0</v>
      </c>
      <c r="M209" t="str">
        <f>IF(COUNTIF(Raw_Sales_Data3[Order ID],Raw_Sales_Data3[[#This Row],[Order ID]])&gt;1,"Duplicate Order ID","Unique Order ID")</f>
        <v>Unique Order ID</v>
      </c>
    </row>
    <row r="210" spans="1:13" x14ac:dyDescent="0.3">
      <c r="A210" t="s">
        <v>267</v>
      </c>
      <c r="B210" s="1">
        <v>46033</v>
      </c>
      <c r="C210" t="s">
        <v>36</v>
      </c>
      <c r="D210" t="s">
        <v>23</v>
      </c>
      <c r="E210" t="s">
        <v>28</v>
      </c>
      <c r="F210" t="s">
        <v>14</v>
      </c>
      <c r="G210" t="s">
        <v>125</v>
      </c>
      <c r="H210" s="5">
        <f>K210/(I210*(1-J210/100))</f>
        <v>12</v>
      </c>
      <c r="I210" s="3">
        <v>39811</v>
      </c>
      <c r="J210" s="10">
        <v>15</v>
      </c>
      <c r="K210" s="2">
        <v>406072.2</v>
      </c>
      <c r="L210" s="2">
        <f>Raw_Sales_Data3[[#This Row],[Quantity]]*Raw_Sales_Data3[[#This Row],[Unit Price]]*(Raw_Sales_Data3[[#This Row],[Discount %]]/100)</f>
        <v>71659.8</v>
      </c>
      <c r="M210" t="str">
        <f>IF(COUNTIF(Raw_Sales_Data3[Order ID],Raw_Sales_Data3[[#This Row],[Order ID]])&gt;1,"Duplicate Order ID","Unique Order ID")</f>
        <v>Unique Order ID</v>
      </c>
    </row>
    <row r="211" spans="1:13" x14ac:dyDescent="0.3">
      <c r="A211" t="s">
        <v>268</v>
      </c>
      <c r="B211" s="1">
        <v>46032</v>
      </c>
      <c r="C211" t="s">
        <v>57</v>
      </c>
      <c r="D211" t="s">
        <v>23</v>
      </c>
      <c r="E211" t="s">
        <v>34</v>
      </c>
      <c r="F211" t="s">
        <v>14</v>
      </c>
      <c r="G211" t="s">
        <v>156</v>
      </c>
      <c r="H211" s="5">
        <v>13</v>
      </c>
      <c r="I211" s="3">
        <v>54323</v>
      </c>
      <c r="J211" s="10">
        <v>0</v>
      </c>
      <c r="K211" s="2">
        <v>706199</v>
      </c>
      <c r="L211" s="2">
        <f>Raw_Sales_Data3[[#This Row],[Quantity]]*Raw_Sales_Data3[[#This Row],[Unit Price]]*(Raw_Sales_Data3[[#This Row],[Discount %]]/100)</f>
        <v>0</v>
      </c>
      <c r="M211" t="str">
        <f>IF(COUNTIF(Raw_Sales_Data3[Order ID],Raw_Sales_Data3[[#This Row],[Order ID]])&gt;1,"Duplicate Order ID","Unique Order ID")</f>
        <v>Unique Order ID</v>
      </c>
    </row>
    <row r="212" spans="1:13" x14ac:dyDescent="0.3">
      <c r="A212" t="s">
        <v>269</v>
      </c>
      <c r="B212" s="1">
        <v>46047</v>
      </c>
      <c r="C212" t="s">
        <v>27</v>
      </c>
      <c r="D212" t="s">
        <v>23</v>
      </c>
      <c r="E212" t="s">
        <v>34</v>
      </c>
      <c r="F212" t="s">
        <v>14</v>
      </c>
      <c r="G212" t="s">
        <v>51</v>
      </c>
      <c r="H212" s="5">
        <v>6</v>
      </c>
      <c r="I212" s="3">
        <v>59888</v>
      </c>
      <c r="J212" s="10">
        <v>0</v>
      </c>
      <c r="K212" s="2">
        <v>359328</v>
      </c>
      <c r="L212" s="2">
        <f>Raw_Sales_Data3[[#This Row],[Quantity]]*Raw_Sales_Data3[[#This Row],[Unit Price]]*(Raw_Sales_Data3[[#This Row],[Discount %]]/100)</f>
        <v>0</v>
      </c>
      <c r="M212" t="str">
        <f>IF(COUNTIF(Raw_Sales_Data3[Order ID],Raw_Sales_Data3[[#This Row],[Order ID]])&gt;1,"Duplicate Order ID","Unique Order ID")</f>
        <v>Unique Order ID</v>
      </c>
    </row>
    <row r="213" spans="1:13" x14ac:dyDescent="0.3">
      <c r="A213" t="s">
        <v>270</v>
      </c>
      <c r="B213" s="1">
        <v>46110</v>
      </c>
      <c r="C213" t="s">
        <v>69</v>
      </c>
      <c r="D213" t="s">
        <v>23</v>
      </c>
      <c r="E213" t="s">
        <v>28</v>
      </c>
      <c r="F213" t="s">
        <v>19</v>
      </c>
      <c r="G213" t="s">
        <v>46</v>
      </c>
      <c r="H213" s="5">
        <v>9</v>
      </c>
      <c r="I213" s="3">
        <v>21491</v>
      </c>
      <c r="J213" s="10">
        <v>15</v>
      </c>
      <c r="K213" s="2">
        <v>164406.15</v>
      </c>
      <c r="L213" s="2">
        <f>Raw_Sales_Data3[[#This Row],[Quantity]]*Raw_Sales_Data3[[#This Row],[Unit Price]]*(Raw_Sales_Data3[[#This Row],[Discount %]]/100)</f>
        <v>29012.85</v>
      </c>
      <c r="M213" t="str">
        <f>IF(COUNTIF(Raw_Sales_Data3[Order ID],Raw_Sales_Data3[[#This Row],[Order ID]])&gt;1,"Duplicate Order ID","Unique Order ID")</f>
        <v>Unique Order ID</v>
      </c>
    </row>
    <row r="214" spans="1:13" x14ac:dyDescent="0.3">
      <c r="A214" t="s">
        <v>271</v>
      </c>
      <c r="B214" s="1">
        <v>46080</v>
      </c>
      <c r="C214" t="s">
        <v>54</v>
      </c>
      <c r="D214" t="s">
        <v>58</v>
      </c>
      <c r="E214" t="s">
        <v>39</v>
      </c>
      <c r="F214" t="s">
        <v>14</v>
      </c>
      <c r="G214" t="s">
        <v>15</v>
      </c>
      <c r="H214" s="5">
        <v>2</v>
      </c>
      <c r="I214" s="3">
        <v>25693</v>
      </c>
      <c r="J214" s="10">
        <v>15</v>
      </c>
      <c r="K214" s="2">
        <v>43678.1</v>
      </c>
      <c r="L214" s="2">
        <f>Raw_Sales_Data3[[#This Row],[Quantity]]*Raw_Sales_Data3[[#This Row],[Unit Price]]*(Raw_Sales_Data3[[#This Row],[Discount %]]/100)</f>
        <v>7707.9</v>
      </c>
      <c r="M214" t="str">
        <f>IF(COUNTIF(Raw_Sales_Data3[Order ID],Raw_Sales_Data3[[#This Row],[Order ID]])&gt;1,"Duplicate Order ID","Unique Order ID")</f>
        <v>Unique Order ID</v>
      </c>
    </row>
    <row r="215" spans="1:13" x14ac:dyDescent="0.3">
      <c r="A215" t="s">
        <v>272</v>
      </c>
      <c r="B215" s="1">
        <v>46096</v>
      </c>
      <c r="C215" t="s">
        <v>57</v>
      </c>
      <c r="D215" t="s">
        <v>23</v>
      </c>
      <c r="E215" t="s">
        <v>39</v>
      </c>
      <c r="F215" t="s">
        <v>14</v>
      </c>
      <c r="G215" t="s">
        <v>125</v>
      </c>
      <c r="H215" s="5">
        <v>8</v>
      </c>
      <c r="I215" s="3">
        <v>42791</v>
      </c>
      <c r="J215" s="10">
        <v>0</v>
      </c>
      <c r="K215" s="2">
        <v>342328</v>
      </c>
      <c r="L215" s="2">
        <f>Raw_Sales_Data3[[#This Row],[Quantity]]*Raw_Sales_Data3[[#This Row],[Unit Price]]*(Raw_Sales_Data3[[#This Row],[Discount %]]/100)</f>
        <v>0</v>
      </c>
      <c r="M215" t="str">
        <f>IF(COUNTIF(Raw_Sales_Data3[Order ID],Raw_Sales_Data3[[#This Row],[Order ID]])&gt;1,"Duplicate Order ID","Unique Order ID")</f>
        <v>Unique Order ID</v>
      </c>
    </row>
    <row r="216" spans="1:13" x14ac:dyDescent="0.3">
      <c r="A216" t="s">
        <v>273</v>
      </c>
      <c r="B216" s="1">
        <v>46051</v>
      </c>
      <c r="C216" t="s">
        <v>27</v>
      </c>
      <c r="D216" t="s">
        <v>23</v>
      </c>
      <c r="E216" t="s">
        <v>18</v>
      </c>
      <c r="F216" t="s">
        <v>24</v>
      </c>
      <c r="G216" t="s">
        <v>71</v>
      </c>
      <c r="H216" s="5">
        <v>2</v>
      </c>
      <c r="I216" s="3">
        <v>38066</v>
      </c>
      <c r="J216" s="10">
        <v>5</v>
      </c>
      <c r="K216" s="2">
        <v>72325.399999999994</v>
      </c>
      <c r="L216" s="2">
        <f>Raw_Sales_Data3[[#This Row],[Quantity]]*Raw_Sales_Data3[[#This Row],[Unit Price]]*(Raw_Sales_Data3[[#This Row],[Discount %]]/100)</f>
        <v>3806.6000000000004</v>
      </c>
      <c r="M216" t="str">
        <f>IF(COUNTIF(Raw_Sales_Data3[Order ID],Raw_Sales_Data3[[#This Row],[Order ID]])&gt;1,"Duplicate Order ID","Unique Order ID")</f>
        <v>Unique Order ID</v>
      </c>
    </row>
    <row r="217" spans="1:13" x14ac:dyDescent="0.3">
      <c r="A217" t="s">
        <v>274</v>
      </c>
      <c r="B217" s="1">
        <v>46086</v>
      </c>
      <c r="C217" t="s">
        <v>89</v>
      </c>
      <c r="D217" t="s">
        <v>58</v>
      </c>
      <c r="E217" t="s">
        <v>28</v>
      </c>
      <c r="F217" t="s">
        <v>19</v>
      </c>
      <c r="G217" t="s">
        <v>40</v>
      </c>
      <c r="H217" s="5">
        <v>4</v>
      </c>
      <c r="I217" s="3">
        <v>59362</v>
      </c>
      <c r="J217" s="10">
        <v>5</v>
      </c>
      <c r="K217" s="2">
        <v>225575.6</v>
      </c>
      <c r="L217" s="2">
        <f>Raw_Sales_Data3[[#This Row],[Quantity]]*Raw_Sales_Data3[[#This Row],[Unit Price]]*(Raw_Sales_Data3[[#This Row],[Discount %]]/100)</f>
        <v>11872.400000000001</v>
      </c>
      <c r="M217" t="str">
        <f>IF(COUNTIF(Raw_Sales_Data3[Order ID],Raw_Sales_Data3[[#This Row],[Order ID]])&gt;1,"Duplicate Order ID","Unique Order ID")</f>
        <v>Unique Order ID</v>
      </c>
    </row>
    <row r="218" spans="1:13" x14ac:dyDescent="0.3">
      <c r="A218" t="s">
        <v>275</v>
      </c>
      <c r="B218" s="1">
        <v>46099</v>
      </c>
      <c r="C218" t="s">
        <v>54</v>
      </c>
      <c r="D218" t="s">
        <v>43</v>
      </c>
      <c r="E218" t="s">
        <v>13</v>
      </c>
      <c r="F218" t="s">
        <v>14</v>
      </c>
      <c r="G218" t="s">
        <v>73</v>
      </c>
      <c r="H218" s="5">
        <v>12</v>
      </c>
      <c r="I218" s="3">
        <f>K218/H218</f>
        <v>4197.3</v>
      </c>
      <c r="J218" s="10">
        <v>15</v>
      </c>
      <c r="K218" s="2">
        <v>50367.6</v>
      </c>
      <c r="L218" s="2">
        <f>Raw_Sales_Data3[[#This Row],[Quantity]]*Raw_Sales_Data3[[#This Row],[Unit Price]]*(Raw_Sales_Data3[[#This Row],[Discount %]]/100)</f>
        <v>7555.14</v>
      </c>
      <c r="M218" t="str">
        <f>IF(COUNTIF(Raw_Sales_Data3[Order ID],Raw_Sales_Data3[[#This Row],[Order ID]])&gt;1,"Duplicate Order ID","Unique Order ID")</f>
        <v>Unique Order ID</v>
      </c>
    </row>
    <row r="219" spans="1:13" x14ac:dyDescent="0.3">
      <c r="A219" t="s">
        <v>276</v>
      </c>
      <c r="B219" s="1">
        <v>46086</v>
      </c>
      <c r="C219" t="s">
        <v>50</v>
      </c>
      <c r="D219" t="s">
        <v>58</v>
      </c>
      <c r="E219" t="s">
        <v>13</v>
      </c>
      <c r="F219" t="s">
        <v>14</v>
      </c>
      <c r="G219" t="s">
        <v>98</v>
      </c>
      <c r="H219" s="5">
        <v>8</v>
      </c>
      <c r="I219" s="3">
        <v>8575</v>
      </c>
      <c r="J219" s="10">
        <v>5</v>
      </c>
      <c r="K219" s="2">
        <v>65170</v>
      </c>
      <c r="L219" s="2">
        <f>Raw_Sales_Data3[[#This Row],[Quantity]]*Raw_Sales_Data3[[#This Row],[Unit Price]]*(Raw_Sales_Data3[[#This Row],[Discount %]]/100)</f>
        <v>3430</v>
      </c>
      <c r="M219" t="str">
        <f>IF(COUNTIF(Raw_Sales_Data3[Order ID],Raw_Sales_Data3[[#This Row],[Order ID]])&gt;1,"Duplicate Order ID","Unique Order ID")</f>
        <v>Unique Order ID</v>
      </c>
    </row>
    <row r="220" spans="1:13" x14ac:dyDescent="0.3">
      <c r="A220" t="s">
        <v>277</v>
      </c>
      <c r="B220" s="1">
        <v>46056</v>
      </c>
      <c r="C220" t="s">
        <v>89</v>
      </c>
      <c r="D220" t="s">
        <v>43</v>
      </c>
      <c r="E220" t="s">
        <v>39</v>
      </c>
      <c r="F220" t="s">
        <v>19</v>
      </c>
      <c r="G220" t="s">
        <v>147</v>
      </c>
      <c r="H220" s="5">
        <v>12</v>
      </c>
      <c r="I220" s="3">
        <v>59417</v>
      </c>
      <c r="J220" s="10">
        <v>0</v>
      </c>
      <c r="K220" s="2">
        <v>713004</v>
      </c>
      <c r="L220" s="2">
        <f>Raw_Sales_Data3[[#This Row],[Quantity]]*Raw_Sales_Data3[[#This Row],[Unit Price]]*(Raw_Sales_Data3[[#This Row],[Discount %]]/100)</f>
        <v>0</v>
      </c>
      <c r="M220" t="str">
        <f>IF(COUNTIF(Raw_Sales_Data3[Order ID],Raw_Sales_Data3[[#This Row],[Order ID]])&gt;1,"Duplicate Order ID","Unique Order ID")</f>
        <v>Unique Order ID</v>
      </c>
    </row>
    <row r="221" spans="1:13" x14ac:dyDescent="0.3">
      <c r="A221" t="s">
        <v>278</v>
      </c>
      <c r="B221" s="1">
        <v>46101</v>
      </c>
      <c r="C221" t="s">
        <v>91</v>
      </c>
      <c r="D221" t="s">
        <v>43</v>
      </c>
      <c r="E221" t="s">
        <v>34</v>
      </c>
      <c r="F221" t="s">
        <v>24</v>
      </c>
      <c r="G221" t="s">
        <v>25</v>
      </c>
      <c r="H221" s="5">
        <v>2</v>
      </c>
      <c r="I221" s="3">
        <v>40291</v>
      </c>
      <c r="J221" s="10">
        <v>20</v>
      </c>
      <c r="K221" s="2">
        <v>64465.599999999999</v>
      </c>
      <c r="L221" s="2">
        <f>Raw_Sales_Data3[[#This Row],[Quantity]]*Raw_Sales_Data3[[#This Row],[Unit Price]]*(Raw_Sales_Data3[[#This Row],[Discount %]]/100)</f>
        <v>16116.400000000001</v>
      </c>
      <c r="M221" t="str">
        <f>IF(COUNTIF(Raw_Sales_Data3[Order ID],Raw_Sales_Data3[[#This Row],[Order ID]])&gt;1,"Duplicate Order ID","Unique Order ID")</f>
        <v>Duplicate Order ID</v>
      </c>
    </row>
    <row r="222" spans="1:13" x14ac:dyDescent="0.3">
      <c r="A222" t="s">
        <v>278</v>
      </c>
      <c r="B222" s="1">
        <v>46039</v>
      </c>
      <c r="C222" t="s">
        <v>86</v>
      </c>
      <c r="D222" t="s">
        <v>58</v>
      </c>
      <c r="E222" t="s">
        <v>13</v>
      </c>
      <c r="F222" t="s">
        <v>14</v>
      </c>
      <c r="G222" t="s">
        <v>103</v>
      </c>
      <c r="H222" s="5">
        <v>8</v>
      </c>
      <c r="I222" s="3">
        <v>23388</v>
      </c>
      <c r="J222" s="10">
        <v>0</v>
      </c>
      <c r="K222" s="2">
        <v>187104</v>
      </c>
      <c r="L222" s="2">
        <f>Raw_Sales_Data3[[#This Row],[Quantity]]*Raw_Sales_Data3[[#This Row],[Unit Price]]*(Raw_Sales_Data3[[#This Row],[Discount %]]/100)</f>
        <v>0</v>
      </c>
      <c r="M222" t="str">
        <f>IF(COUNTIF(Raw_Sales_Data3[Order ID],Raw_Sales_Data3[[#This Row],[Order ID]])&gt;1,"Duplicate Order ID","Unique Order ID")</f>
        <v>Duplicate Order ID</v>
      </c>
    </row>
    <row r="223" spans="1:13" x14ac:dyDescent="0.3">
      <c r="A223" t="s">
        <v>279</v>
      </c>
      <c r="B223" s="1">
        <v>46040</v>
      </c>
      <c r="C223" t="s">
        <v>50</v>
      </c>
      <c r="D223" t="s">
        <v>58</v>
      </c>
      <c r="E223" t="s">
        <v>34</v>
      </c>
      <c r="F223" t="s">
        <v>19</v>
      </c>
      <c r="G223" t="s">
        <v>120</v>
      </c>
      <c r="H223" s="5">
        <v>12</v>
      </c>
      <c r="I223" s="3">
        <v>31216</v>
      </c>
      <c r="J223" s="10">
        <v>5</v>
      </c>
      <c r="K223" s="2">
        <v>355862.4</v>
      </c>
      <c r="L223" s="2">
        <f>Raw_Sales_Data3[[#This Row],[Quantity]]*Raw_Sales_Data3[[#This Row],[Unit Price]]*(Raw_Sales_Data3[[#This Row],[Discount %]]/100)</f>
        <v>18729.600000000002</v>
      </c>
      <c r="M223" t="str">
        <f>IF(COUNTIF(Raw_Sales_Data3[Order ID],Raw_Sales_Data3[[#This Row],[Order ID]])&gt;1,"Duplicate Order ID","Unique Order ID")</f>
        <v>Unique Order ID</v>
      </c>
    </row>
    <row r="224" spans="1:13" x14ac:dyDescent="0.3">
      <c r="A224" t="s">
        <v>280</v>
      </c>
      <c r="B224" s="1">
        <v>46030</v>
      </c>
      <c r="C224" t="s">
        <v>69</v>
      </c>
      <c r="D224" t="s">
        <v>70</v>
      </c>
      <c r="E224" t="s">
        <v>28</v>
      </c>
      <c r="F224" t="s">
        <v>24</v>
      </c>
      <c r="G224" t="s">
        <v>71</v>
      </c>
      <c r="H224" s="5">
        <v>7</v>
      </c>
      <c r="I224" s="3">
        <v>38564</v>
      </c>
      <c r="J224" s="10">
        <v>20</v>
      </c>
      <c r="K224" s="2">
        <v>215958.39999999999</v>
      </c>
      <c r="L224" s="2">
        <f>Raw_Sales_Data3[[#This Row],[Quantity]]*Raw_Sales_Data3[[#This Row],[Unit Price]]*(Raw_Sales_Data3[[#This Row],[Discount %]]/100)</f>
        <v>53989.600000000006</v>
      </c>
      <c r="M224" t="str">
        <f>IF(COUNTIF(Raw_Sales_Data3[Order ID],Raw_Sales_Data3[[#This Row],[Order ID]])&gt;1,"Duplicate Order ID","Unique Order ID")</f>
        <v>Duplicate Order ID</v>
      </c>
    </row>
    <row r="225" spans="1:13" x14ac:dyDescent="0.3">
      <c r="A225" t="s">
        <v>280</v>
      </c>
      <c r="B225" s="1">
        <v>46103</v>
      </c>
      <c r="C225" t="s">
        <v>64</v>
      </c>
      <c r="D225" t="s">
        <v>23</v>
      </c>
      <c r="E225" t="s">
        <v>13</v>
      </c>
      <c r="F225" t="s">
        <v>14</v>
      </c>
      <c r="G225" t="s">
        <v>103</v>
      </c>
      <c r="H225" s="5">
        <v>6</v>
      </c>
      <c r="I225" s="3">
        <v>43960</v>
      </c>
      <c r="J225" s="10">
        <v>0</v>
      </c>
      <c r="K225" s="2">
        <v>263760</v>
      </c>
      <c r="L225" s="2">
        <f>Raw_Sales_Data3[[#This Row],[Quantity]]*Raw_Sales_Data3[[#This Row],[Unit Price]]*(Raw_Sales_Data3[[#This Row],[Discount %]]/100)</f>
        <v>0</v>
      </c>
      <c r="M225" t="str">
        <f>IF(COUNTIF(Raw_Sales_Data3[Order ID],Raw_Sales_Data3[[#This Row],[Order ID]])&gt;1,"Duplicate Order ID","Unique Order ID")</f>
        <v>Duplicate Order ID</v>
      </c>
    </row>
    <row r="226" spans="1:13" x14ac:dyDescent="0.3">
      <c r="A226" t="s">
        <v>281</v>
      </c>
      <c r="B226" s="1">
        <v>46086</v>
      </c>
      <c r="C226" t="s">
        <v>86</v>
      </c>
      <c r="D226" t="s">
        <v>23</v>
      </c>
      <c r="E226" t="s">
        <v>13</v>
      </c>
      <c r="F226" t="s">
        <v>24</v>
      </c>
      <c r="G226" t="s">
        <v>71</v>
      </c>
      <c r="H226" s="5">
        <v>9</v>
      </c>
      <c r="I226" s="3">
        <v>56949</v>
      </c>
      <c r="J226" s="10">
        <v>0</v>
      </c>
      <c r="K226" s="2">
        <v>512541</v>
      </c>
      <c r="L226" s="2">
        <f>Raw_Sales_Data3[[#This Row],[Quantity]]*Raw_Sales_Data3[[#This Row],[Unit Price]]*(Raw_Sales_Data3[[#This Row],[Discount %]]/100)</f>
        <v>0</v>
      </c>
      <c r="M226" t="str">
        <f>IF(COUNTIF(Raw_Sales_Data3[Order ID],Raw_Sales_Data3[[#This Row],[Order ID]])&gt;1,"Duplicate Order ID","Unique Order ID")</f>
        <v>Unique Order ID</v>
      </c>
    </row>
    <row r="227" spans="1:13" x14ac:dyDescent="0.3">
      <c r="A227" t="s">
        <v>282</v>
      </c>
      <c r="B227" s="1">
        <v>46027</v>
      </c>
      <c r="C227" t="s">
        <v>64</v>
      </c>
      <c r="D227" t="s">
        <v>70</v>
      </c>
      <c r="E227" t="s">
        <v>28</v>
      </c>
      <c r="F227" t="s">
        <v>14</v>
      </c>
      <c r="G227" t="s">
        <v>73</v>
      </c>
      <c r="H227" s="5">
        <f>K227/(I227*(1-J227/100))</f>
        <v>9</v>
      </c>
      <c r="I227" s="3">
        <v>29922</v>
      </c>
      <c r="J227" s="10">
        <v>0</v>
      </c>
      <c r="K227" s="2">
        <v>269298</v>
      </c>
      <c r="L227" s="2">
        <f>Raw_Sales_Data3[[#This Row],[Quantity]]*Raw_Sales_Data3[[#This Row],[Unit Price]]*(Raw_Sales_Data3[[#This Row],[Discount %]]/100)</f>
        <v>0</v>
      </c>
      <c r="M227" t="str">
        <f>IF(COUNTIF(Raw_Sales_Data3[Order ID],Raw_Sales_Data3[[#This Row],[Order ID]])&gt;1,"Duplicate Order ID","Unique Order ID")</f>
        <v>Unique Order ID</v>
      </c>
    </row>
    <row r="228" spans="1:13" x14ac:dyDescent="0.3">
      <c r="A228" t="s">
        <v>283</v>
      </c>
      <c r="B228" s="1">
        <v>46045</v>
      </c>
      <c r="C228" t="s">
        <v>12</v>
      </c>
      <c r="D228" t="s">
        <v>23</v>
      </c>
      <c r="E228" t="s">
        <v>28</v>
      </c>
      <c r="F228" t="s">
        <v>14</v>
      </c>
      <c r="G228" t="s">
        <v>51</v>
      </c>
      <c r="H228" s="5">
        <v>6</v>
      </c>
      <c r="I228" s="3">
        <v>21465</v>
      </c>
      <c r="J228" s="10">
        <v>15</v>
      </c>
      <c r="K228" s="2">
        <v>109471.5</v>
      </c>
      <c r="L228" s="2">
        <f>Raw_Sales_Data3[[#This Row],[Quantity]]*Raw_Sales_Data3[[#This Row],[Unit Price]]*(Raw_Sales_Data3[[#This Row],[Discount %]]/100)</f>
        <v>19318.5</v>
      </c>
      <c r="M228" t="str">
        <f>IF(COUNTIF(Raw_Sales_Data3[Order ID],Raw_Sales_Data3[[#This Row],[Order ID]])&gt;1,"Duplicate Order ID","Unique Order ID")</f>
        <v>Unique Order ID</v>
      </c>
    </row>
    <row r="229" spans="1:13" x14ac:dyDescent="0.3">
      <c r="A229" t="s">
        <v>284</v>
      </c>
      <c r="B229" s="1">
        <v>46096</v>
      </c>
      <c r="C229" t="s">
        <v>27</v>
      </c>
      <c r="D229" t="s">
        <v>43</v>
      </c>
      <c r="E229" t="s">
        <v>39</v>
      </c>
      <c r="F229" t="s">
        <v>19</v>
      </c>
      <c r="G229" t="s">
        <v>46</v>
      </c>
      <c r="H229" s="5">
        <v>9</v>
      </c>
      <c r="I229" s="3">
        <v>49336</v>
      </c>
      <c r="J229" s="10">
        <v>20</v>
      </c>
      <c r="K229" s="2">
        <v>355219.20000000001</v>
      </c>
      <c r="L229" s="2">
        <f>Raw_Sales_Data3[[#This Row],[Quantity]]*Raw_Sales_Data3[[#This Row],[Unit Price]]*(Raw_Sales_Data3[[#This Row],[Discount %]]/100)</f>
        <v>88804.800000000003</v>
      </c>
      <c r="M229" t="str">
        <f>IF(COUNTIF(Raw_Sales_Data3[Order ID],Raw_Sales_Data3[[#This Row],[Order ID]])&gt;1,"Duplicate Order ID","Unique Order ID")</f>
        <v>Unique Order ID</v>
      </c>
    </row>
    <row r="230" spans="1:13" x14ac:dyDescent="0.3">
      <c r="A230" t="s">
        <v>285</v>
      </c>
      <c r="B230" s="1">
        <v>46108</v>
      </c>
      <c r="C230" t="s">
        <v>50</v>
      </c>
      <c r="D230" t="s">
        <v>70</v>
      </c>
      <c r="E230" t="s">
        <v>18</v>
      </c>
      <c r="F230" t="s">
        <v>19</v>
      </c>
      <c r="G230" t="s">
        <v>147</v>
      </c>
      <c r="H230" s="5">
        <v>9</v>
      </c>
      <c r="I230" s="3">
        <v>46831</v>
      </c>
      <c r="J230" s="10">
        <v>0</v>
      </c>
      <c r="K230" s="2">
        <v>421479</v>
      </c>
      <c r="L230" s="2">
        <f>Raw_Sales_Data3[[#This Row],[Quantity]]*Raw_Sales_Data3[[#This Row],[Unit Price]]*(Raw_Sales_Data3[[#This Row],[Discount %]]/100)</f>
        <v>0</v>
      </c>
      <c r="M230" t="str">
        <f>IF(COUNTIF(Raw_Sales_Data3[Order ID],Raw_Sales_Data3[[#This Row],[Order ID]])&gt;1,"Duplicate Order ID","Unique Order ID")</f>
        <v>Unique Order ID</v>
      </c>
    </row>
    <row r="231" spans="1:13" x14ac:dyDescent="0.3">
      <c r="A231" t="s">
        <v>286</v>
      </c>
      <c r="B231" s="1">
        <v>46091</v>
      </c>
      <c r="C231" t="s">
        <v>50</v>
      </c>
      <c r="D231" t="s">
        <v>58</v>
      </c>
      <c r="E231" t="s">
        <v>34</v>
      </c>
      <c r="F231" t="s">
        <v>19</v>
      </c>
      <c r="G231" t="s">
        <v>117</v>
      </c>
      <c r="H231" s="5">
        <v>4</v>
      </c>
      <c r="I231" s="3">
        <v>46103</v>
      </c>
      <c r="J231" s="10">
        <v>0</v>
      </c>
      <c r="K231" s="2">
        <v>184412</v>
      </c>
      <c r="L231" s="2">
        <f>Raw_Sales_Data3[[#This Row],[Quantity]]*Raw_Sales_Data3[[#This Row],[Unit Price]]*(Raw_Sales_Data3[[#This Row],[Discount %]]/100)</f>
        <v>0</v>
      </c>
      <c r="M231" t="str">
        <f>IF(COUNTIF(Raw_Sales_Data3[Order ID],Raw_Sales_Data3[[#This Row],[Order ID]])&gt;1,"Duplicate Order ID","Unique Order ID")</f>
        <v>Unique Order ID</v>
      </c>
    </row>
    <row r="232" spans="1:13" x14ac:dyDescent="0.3">
      <c r="A232" t="s">
        <v>287</v>
      </c>
      <c r="B232" s="1">
        <v>46089</v>
      </c>
      <c r="C232" t="s">
        <v>54</v>
      </c>
      <c r="D232" t="s">
        <v>70</v>
      </c>
      <c r="E232" t="s">
        <v>39</v>
      </c>
      <c r="F232" t="s">
        <v>24</v>
      </c>
      <c r="G232" t="s">
        <v>53</v>
      </c>
      <c r="H232" s="5">
        <v>11</v>
      </c>
      <c r="I232" s="3">
        <v>5518</v>
      </c>
      <c r="J232" s="10">
        <v>5</v>
      </c>
      <c r="K232" s="2">
        <v>57663.1</v>
      </c>
      <c r="L232" s="2">
        <f>Raw_Sales_Data3[[#This Row],[Quantity]]*Raw_Sales_Data3[[#This Row],[Unit Price]]*(Raw_Sales_Data3[[#This Row],[Discount %]]/100)</f>
        <v>3034.9</v>
      </c>
      <c r="M232" t="str">
        <f>IF(COUNTIF(Raw_Sales_Data3[Order ID],Raw_Sales_Data3[[#This Row],[Order ID]])&gt;1,"Duplicate Order ID","Unique Order ID")</f>
        <v>Unique Order ID</v>
      </c>
    </row>
    <row r="233" spans="1:13" x14ac:dyDescent="0.3">
      <c r="A233" t="s">
        <v>288</v>
      </c>
      <c r="B233" s="1">
        <v>46061</v>
      </c>
      <c r="C233" t="s">
        <v>86</v>
      </c>
      <c r="D233" t="s">
        <v>43</v>
      </c>
      <c r="E233" t="s">
        <v>28</v>
      </c>
      <c r="F233" t="s">
        <v>24</v>
      </c>
      <c r="G233" t="s">
        <v>71</v>
      </c>
      <c r="H233" s="5">
        <v>5</v>
      </c>
      <c r="I233" s="3">
        <v>42707</v>
      </c>
      <c r="J233" s="10">
        <v>15</v>
      </c>
      <c r="K233" s="2">
        <v>181504.75</v>
      </c>
      <c r="L233" s="2">
        <f>Raw_Sales_Data3[[#This Row],[Quantity]]*Raw_Sales_Data3[[#This Row],[Unit Price]]*(Raw_Sales_Data3[[#This Row],[Discount %]]/100)</f>
        <v>32030.25</v>
      </c>
      <c r="M233" t="str">
        <f>IF(COUNTIF(Raw_Sales_Data3[Order ID],Raw_Sales_Data3[[#This Row],[Order ID]])&gt;1,"Duplicate Order ID","Unique Order ID")</f>
        <v>Unique Order ID</v>
      </c>
    </row>
    <row r="234" spans="1:13" x14ac:dyDescent="0.3">
      <c r="A234" t="s">
        <v>289</v>
      </c>
      <c r="B234" s="1">
        <v>46110</v>
      </c>
      <c r="C234" t="s">
        <v>62</v>
      </c>
      <c r="D234" t="s">
        <v>70</v>
      </c>
      <c r="E234" t="s">
        <v>39</v>
      </c>
      <c r="F234" t="s">
        <v>19</v>
      </c>
      <c r="G234" t="s">
        <v>120</v>
      </c>
      <c r="H234" s="5">
        <v>4</v>
      </c>
      <c r="I234" s="3">
        <v>37470</v>
      </c>
      <c r="J234" s="10">
        <v>15</v>
      </c>
      <c r="K234" s="2">
        <v>127398</v>
      </c>
      <c r="L234" s="2">
        <f>Raw_Sales_Data3[[#This Row],[Quantity]]*Raw_Sales_Data3[[#This Row],[Unit Price]]*(Raw_Sales_Data3[[#This Row],[Discount %]]/100)</f>
        <v>22482</v>
      </c>
      <c r="M234" t="str">
        <f>IF(COUNTIF(Raw_Sales_Data3[Order ID],Raw_Sales_Data3[[#This Row],[Order ID]])&gt;1,"Duplicate Order ID","Unique Order ID")</f>
        <v>Unique Order ID</v>
      </c>
    </row>
    <row r="235" spans="1:13" x14ac:dyDescent="0.3">
      <c r="A235" t="s">
        <v>290</v>
      </c>
      <c r="B235" s="1">
        <v>46075</v>
      </c>
      <c r="C235" t="s">
        <v>33</v>
      </c>
      <c r="D235" t="s">
        <v>23</v>
      </c>
      <c r="E235" t="s">
        <v>13</v>
      </c>
      <c r="F235" t="s">
        <v>19</v>
      </c>
      <c r="G235" t="s">
        <v>40</v>
      </c>
      <c r="H235" s="5">
        <v>5</v>
      </c>
      <c r="I235" s="3">
        <v>39369</v>
      </c>
      <c r="J235" s="10">
        <v>0</v>
      </c>
      <c r="K235" s="2">
        <v>196845</v>
      </c>
      <c r="L235" s="2">
        <f>Raw_Sales_Data3[[#This Row],[Quantity]]*Raw_Sales_Data3[[#This Row],[Unit Price]]*(Raw_Sales_Data3[[#This Row],[Discount %]]/100)</f>
        <v>0</v>
      </c>
      <c r="M235" t="str">
        <f>IF(COUNTIF(Raw_Sales_Data3[Order ID],Raw_Sales_Data3[[#This Row],[Order ID]])&gt;1,"Duplicate Order ID","Unique Order ID")</f>
        <v>Unique Order ID</v>
      </c>
    </row>
    <row r="236" spans="1:13" x14ac:dyDescent="0.3">
      <c r="A236" t="s">
        <v>291</v>
      </c>
      <c r="B236" s="1">
        <v>46072</v>
      </c>
      <c r="C236" t="s">
        <v>57</v>
      </c>
      <c r="D236" t="s">
        <v>43</v>
      </c>
      <c r="E236" t="s">
        <v>18</v>
      </c>
      <c r="F236" t="s">
        <v>24</v>
      </c>
      <c r="G236" t="s">
        <v>77</v>
      </c>
      <c r="H236" s="5">
        <v>11</v>
      </c>
      <c r="I236" s="3">
        <v>25857</v>
      </c>
      <c r="J236" s="10">
        <v>0</v>
      </c>
      <c r="K236" s="2">
        <v>284427</v>
      </c>
      <c r="L236" s="2">
        <f>Raw_Sales_Data3[[#This Row],[Quantity]]*Raw_Sales_Data3[[#This Row],[Unit Price]]*(Raw_Sales_Data3[[#This Row],[Discount %]]/100)</f>
        <v>0</v>
      </c>
      <c r="M236" t="str">
        <f>IF(COUNTIF(Raw_Sales_Data3[Order ID],Raw_Sales_Data3[[#This Row],[Order ID]])&gt;1,"Duplicate Order ID","Unique Order ID")</f>
        <v>Unique Order ID</v>
      </c>
    </row>
    <row r="237" spans="1:13" x14ac:dyDescent="0.3">
      <c r="A237" t="s">
        <v>292</v>
      </c>
      <c r="B237" s="1"/>
      <c r="C237" t="s">
        <v>91</v>
      </c>
      <c r="D237" t="s">
        <v>43</v>
      </c>
      <c r="E237" t="s">
        <v>13</v>
      </c>
      <c r="F237" t="s">
        <v>19</v>
      </c>
      <c r="G237" t="s">
        <v>20</v>
      </c>
      <c r="H237" s="5">
        <v>4</v>
      </c>
      <c r="I237" s="3">
        <v>4763</v>
      </c>
      <c r="J237" s="10">
        <v>0</v>
      </c>
      <c r="K237" s="2">
        <v>19052</v>
      </c>
      <c r="L237" s="2">
        <f>Raw_Sales_Data3[[#This Row],[Quantity]]*Raw_Sales_Data3[[#This Row],[Unit Price]]*(Raw_Sales_Data3[[#This Row],[Discount %]]/100)</f>
        <v>0</v>
      </c>
      <c r="M237" t="str">
        <f>IF(COUNTIF(Raw_Sales_Data3[Order ID],Raw_Sales_Data3[[#This Row],[Order ID]])&gt;1,"Duplicate Order ID","Unique Order ID")</f>
        <v>Unique Order ID</v>
      </c>
    </row>
    <row r="238" spans="1:13" x14ac:dyDescent="0.3">
      <c r="A238" t="s">
        <v>293</v>
      </c>
      <c r="B238" s="1">
        <v>46102</v>
      </c>
      <c r="C238" t="s">
        <v>27</v>
      </c>
      <c r="D238" t="s">
        <v>23</v>
      </c>
      <c r="E238" t="s">
        <v>39</v>
      </c>
      <c r="F238" t="s">
        <v>24</v>
      </c>
      <c r="G238" t="s">
        <v>71</v>
      </c>
      <c r="H238" s="5">
        <v>13</v>
      </c>
      <c r="I238" s="3">
        <v>52809</v>
      </c>
      <c r="J238" s="10">
        <v>10</v>
      </c>
      <c r="K238" s="2">
        <v>617865.30000000005</v>
      </c>
      <c r="L238" s="2">
        <f>Raw_Sales_Data3[[#This Row],[Quantity]]*Raw_Sales_Data3[[#This Row],[Unit Price]]*(Raw_Sales_Data3[[#This Row],[Discount %]]/100)</f>
        <v>68651.7</v>
      </c>
      <c r="M238" t="str">
        <f>IF(COUNTIF(Raw_Sales_Data3[Order ID],Raw_Sales_Data3[[#This Row],[Order ID]])&gt;1,"Duplicate Order ID","Unique Order ID")</f>
        <v>Unique Order ID</v>
      </c>
    </row>
    <row r="239" spans="1:13" x14ac:dyDescent="0.3">
      <c r="A239" t="s">
        <v>294</v>
      </c>
      <c r="B239" s="1">
        <v>46067</v>
      </c>
      <c r="C239" t="s">
        <v>89</v>
      </c>
      <c r="D239" t="s">
        <v>23</v>
      </c>
      <c r="E239" t="s">
        <v>39</v>
      </c>
      <c r="F239" t="s">
        <v>19</v>
      </c>
      <c r="G239" t="s">
        <v>1038</v>
      </c>
      <c r="H239" s="5">
        <v>14</v>
      </c>
      <c r="I239" s="3">
        <v>52593</v>
      </c>
      <c r="J239" s="10">
        <v>20</v>
      </c>
      <c r="K239" s="2">
        <v>589041.6</v>
      </c>
      <c r="L239" s="2">
        <f>Raw_Sales_Data3[[#This Row],[Quantity]]*Raw_Sales_Data3[[#This Row],[Unit Price]]*(Raw_Sales_Data3[[#This Row],[Discount %]]/100)</f>
        <v>147260.4</v>
      </c>
      <c r="M239" t="str">
        <f>IF(COUNTIF(Raw_Sales_Data3[Order ID],Raw_Sales_Data3[[#This Row],[Order ID]])&gt;1,"Duplicate Order ID","Unique Order ID")</f>
        <v>Unique Order ID</v>
      </c>
    </row>
    <row r="240" spans="1:13" x14ac:dyDescent="0.3">
      <c r="A240" t="s">
        <v>295</v>
      </c>
      <c r="B240" s="1">
        <v>46100</v>
      </c>
      <c r="C240" t="s">
        <v>91</v>
      </c>
      <c r="D240" t="s">
        <v>70</v>
      </c>
      <c r="E240" t="s">
        <v>28</v>
      </c>
      <c r="F240" t="s">
        <v>14</v>
      </c>
      <c r="G240" t="s">
        <v>71</v>
      </c>
      <c r="H240" s="5">
        <v>15</v>
      </c>
      <c r="I240" s="3">
        <v>22569</v>
      </c>
      <c r="J240" s="10">
        <v>10</v>
      </c>
      <c r="K240" s="2">
        <v>304681.5</v>
      </c>
      <c r="L240" s="2">
        <f>Raw_Sales_Data3[[#This Row],[Quantity]]*Raw_Sales_Data3[[#This Row],[Unit Price]]*(Raw_Sales_Data3[[#This Row],[Discount %]]/100)</f>
        <v>33853.5</v>
      </c>
      <c r="M240" t="str">
        <f>IF(COUNTIF(Raw_Sales_Data3[Order ID],Raw_Sales_Data3[[#This Row],[Order ID]])&gt;1,"Duplicate Order ID","Unique Order ID")</f>
        <v>Unique Order ID</v>
      </c>
    </row>
    <row r="241" spans="1:13" x14ac:dyDescent="0.3">
      <c r="A241" t="s">
        <v>296</v>
      </c>
      <c r="B241" s="1">
        <v>46063</v>
      </c>
      <c r="C241" t="s">
        <v>36</v>
      </c>
      <c r="D241" t="s">
        <v>43</v>
      </c>
      <c r="E241" t="s">
        <v>28</v>
      </c>
      <c r="F241" t="s">
        <v>24</v>
      </c>
      <c r="G241" t="s">
        <v>55</v>
      </c>
      <c r="H241" s="5">
        <v>1</v>
      </c>
      <c r="I241" s="3">
        <v>9281</v>
      </c>
      <c r="J241" s="10">
        <v>20</v>
      </c>
      <c r="K241" s="2">
        <v>7424.8</v>
      </c>
      <c r="L241" s="2">
        <f>Raw_Sales_Data3[[#This Row],[Quantity]]*Raw_Sales_Data3[[#This Row],[Unit Price]]*(Raw_Sales_Data3[[#This Row],[Discount %]]/100)</f>
        <v>1856.2</v>
      </c>
      <c r="M241" t="str">
        <f>IF(COUNTIF(Raw_Sales_Data3[Order ID],Raw_Sales_Data3[[#This Row],[Order ID]])&gt;1,"Duplicate Order ID","Unique Order ID")</f>
        <v>Unique Order ID</v>
      </c>
    </row>
    <row r="242" spans="1:13" x14ac:dyDescent="0.3">
      <c r="A242" t="s">
        <v>297</v>
      </c>
      <c r="B242" s="1">
        <v>46100</v>
      </c>
      <c r="C242" t="s">
        <v>38</v>
      </c>
      <c r="D242" t="s">
        <v>58</v>
      </c>
      <c r="E242" t="s">
        <v>28</v>
      </c>
      <c r="F242" t="s">
        <v>19</v>
      </c>
      <c r="G242" t="s">
        <v>79</v>
      </c>
      <c r="H242" s="5">
        <v>7</v>
      </c>
      <c r="I242" s="3">
        <v>49005</v>
      </c>
      <c r="J242" s="10">
        <v>5</v>
      </c>
      <c r="K242" s="2">
        <v>325883.25</v>
      </c>
      <c r="L242" s="2">
        <f>Raw_Sales_Data3[[#This Row],[Quantity]]*Raw_Sales_Data3[[#This Row],[Unit Price]]*(Raw_Sales_Data3[[#This Row],[Discount %]]/100)</f>
        <v>17151.75</v>
      </c>
      <c r="M242" t="str">
        <f>IF(COUNTIF(Raw_Sales_Data3[Order ID],Raw_Sales_Data3[[#This Row],[Order ID]])&gt;1,"Duplicate Order ID","Unique Order ID")</f>
        <v>Unique Order ID</v>
      </c>
    </row>
    <row r="243" spans="1:13" x14ac:dyDescent="0.3">
      <c r="A243" t="s">
        <v>298</v>
      </c>
      <c r="B243" s="1">
        <v>46060</v>
      </c>
      <c r="C243" t="s">
        <v>42</v>
      </c>
      <c r="D243" t="s">
        <v>70</v>
      </c>
      <c r="E243" t="s">
        <v>28</v>
      </c>
      <c r="F243" t="s">
        <v>14</v>
      </c>
      <c r="G243" t="s">
        <v>73</v>
      </c>
      <c r="H243" s="5">
        <v>12</v>
      </c>
      <c r="I243" s="3">
        <v>40442</v>
      </c>
      <c r="J243" s="10">
        <v>0</v>
      </c>
      <c r="K243" s="2">
        <v>485304</v>
      </c>
      <c r="L243" s="2">
        <f>Raw_Sales_Data3[[#This Row],[Quantity]]*Raw_Sales_Data3[[#This Row],[Unit Price]]*(Raw_Sales_Data3[[#This Row],[Discount %]]/100)</f>
        <v>0</v>
      </c>
      <c r="M243" t="str">
        <f>IF(COUNTIF(Raw_Sales_Data3[Order ID],Raw_Sales_Data3[[#This Row],[Order ID]])&gt;1,"Duplicate Order ID","Unique Order ID")</f>
        <v>Unique Order ID</v>
      </c>
    </row>
    <row r="244" spans="1:13" x14ac:dyDescent="0.3">
      <c r="A244" t="s">
        <v>299</v>
      </c>
      <c r="B244" s="1">
        <v>46057</v>
      </c>
      <c r="C244" t="s">
        <v>54</v>
      </c>
      <c r="D244" t="s">
        <v>70</v>
      </c>
      <c r="E244" t="s">
        <v>39</v>
      </c>
      <c r="F244" t="s">
        <v>19</v>
      </c>
      <c r="G244" t="s">
        <v>20</v>
      </c>
      <c r="H244" s="5">
        <v>2</v>
      </c>
      <c r="I244" s="3">
        <v>41833</v>
      </c>
      <c r="J244" s="10">
        <v>10</v>
      </c>
      <c r="K244" s="2">
        <v>75299.399999999994</v>
      </c>
      <c r="L244" s="2">
        <f>Raw_Sales_Data3[[#This Row],[Quantity]]*Raw_Sales_Data3[[#This Row],[Unit Price]]*(Raw_Sales_Data3[[#This Row],[Discount %]]/100)</f>
        <v>8366.6</v>
      </c>
      <c r="M244" t="str">
        <f>IF(COUNTIF(Raw_Sales_Data3[Order ID],Raw_Sales_Data3[[#This Row],[Order ID]])&gt;1,"Duplicate Order ID","Unique Order ID")</f>
        <v>Unique Order ID</v>
      </c>
    </row>
    <row r="245" spans="1:13" x14ac:dyDescent="0.3">
      <c r="A245" t="s">
        <v>300</v>
      </c>
      <c r="B245" s="1">
        <v>46048</v>
      </c>
      <c r="C245" t="s">
        <v>22</v>
      </c>
      <c r="D245" t="s">
        <v>58</v>
      </c>
      <c r="E245" t="s">
        <v>34</v>
      </c>
      <c r="F245" t="s">
        <v>14</v>
      </c>
      <c r="G245" t="s">
        <v>77</v>
      </c>
      <c r="H245" s="5">
        <v>7</v>
      </c>
      <c r="I245" s="3">
        <v>21479</v>
      </c>
      <c r="J245" s="10">
        <v>0</v>
      </c>
      <c r="K245" s="2">
        <v>150353</v>
      </c>
      <c r="L245" s="2">
        <f>Raw_Sales_Data3[[#This Row],[Quantity]]*Raw_Sales_Data3[[#This Row],[Unit Price]]*(Raw_Sales_Data3[[#This Row],[Discount %]]/100)</f>
        <v>0</v>
      </c>
      <c r="M245" t="str">
        <f>IF(COUNTIF(Raw_Sales_Data3[Order ID],Raw_Sales_Data3[[#This Row],[Order ID]])&gt;1,"Duplicate Order ID","Unique Order ID")</f>
        <v>Unique Order ID</v>
      </c>
    </row>
    <row r="246" spans="1:13" x14ac:dyDescent="0.3">
      <c r="A246" t="s">
        <v>301</v>
      </c>
      <c r="B246" s="1">
        <v>46062</v>
      </c>
      <c r="C246" t="s">
        <v>69</v>
      </c>
      <c r="D246" t="s">
        <v>43</v>
      </c>
      <c r="E246" t="s">
        <v>28</v>
      </c>
      <c r="F246" t="s">
        <v>19</v>
      </c>
      <c r="G246" t="s">
        <v>120</v>
      </c>
      <c r="H246" s="5">
        <v>14</v>
      </c>
      <c r="I246" s="3">
        <v>23372</v>
      </c>
      <c r="J246" s="10">
        <v>10</v>
      </c>
      <c r="K246" s="2">
        <v>294487.2</v>
      </c>
      <c r="L246" s="2">
        <f>Raw_Sales_Data3[[#This Row],[Quantity]]*Raw_Sales_Data3[[#This Row],[Unit Price]]*(Raw_Sales_Data3[[#This Row],[Discount %]]/100)</f>
        <v>32720.800000000003</v>
      </c>
      <c r="M246" t="str">
        <f>IF(COUNTIF(Raw_Sales_Data3[Order ID],Raw_Sales_Data3[[#This Row],[Order ID]])&gt;1,"Duplicate Order ID","Unique Order ID")</f>
        <v>Unique Order ID</v>
      </c>
    </row>
    <row r="247" spans="1:13" x14ac:dyDescent="0.3">
      <c r="A247" t="s">
        <v>302</v>
      </c>
      <c r="B247" s="1">
        <v>46084</v>
      </c>
      <c r="C247" t="s">
        <v>86</v>
      </c>
      <c r="D247" t="s">
        <v>23</v>
      </c>
      <c r="E247" t="s">
        <v>39</v>
      </c>
      <c r="F247" t="s">
        <v>19</v>
      </c>
      <c r="G247" t="s">
        <v>59</v>
      </c>
      <c r="H247" s="5">
        <v>14</v>
      </c>
      <c r="I247" s="3">
        <v>49043</v>
      </c>
      <c r="J247" s="10">
        <v>10</v>
      </c>
      <c r="K247" s="2">
        <v>617941.80000000005</v>
      </c>
      <c r="L247" s="2">
        <f>Raw_Sales_Data3[[#This Row],[Quantity]]*Raw_Sales_Data3[[#This Row],[Unit Price]]*(Raw_Sales_Data3[[#This Row],[Discount %]]/100)</f>
        <v>68660.2</v>
      </c>
      <c r="M247" t="str">
        <f>IF(COUNTIF(Raw_Sales_Data3[Order ID],Raw_Sales_Data3[[#This Row],[Order ID]])&gt;1,"Duplicate Order ID","Unique Order ID")</f>
        <v>Unique Order ID</v>
      </c>
    </row>
    <row r="248" spans="1:13" x14ac:dyDescent="0.3">
      <c r="A248" t="s">
        <v>303</v>
      </c>
      <c r="B248" s="1">
        <v>46101</v>
      </c>
      <c r="C248" t="s">
        <v>48</v>
      </c>
      <c r="D248" t="s">
        <v>70</v>
      </c>
      <c r="E248" t="s">
        <v>28</v>
      </c>
      <c r="F248" t="s">
        <v>19</v>
      </c>
      <c r="G248" t="s">
        <v>120</v>
      </c>
      <c r="H248" s="5">
        <v>1</v>
      </c>
      <c r="I248" s="3">
        <v>20563</v>
      </c>
      <c r="J248" s="10">
        <v>0</v>
      </c>
      <c r="K248" s="2">
        <v>20563</v>
      </c>
      <c r="L248" s="2">
        <f>Raw_Sales_Data3[[#This Row],[Quantity]]*Raw_Sales_Data3[[#This Row],[Unit Price]]*(Raw_Sales_Data3[[#This Row],[Discount %]]/100)</f>
        <v>0</v>
      </c>
      <c r="M248" t="str">
        <f>IF(COUNTIF(Raw_Sales_Data3[Order ID],Raw_Sales_Data3[[#This Row],[Order ID]])&gt;1,"Duplicate Order ID","Unique Order ID")</f>
        <v>Unique Order ID</v>
      </c>
    </row>
    <row r="249" spans="1:13" x14ac:dyDescent="0.3">
      <c r="A249" t="s">
        <v>304</v>
      </c>
      <c r="B249" s="1">
        <v>46095</v>
      </c>
      <c r="C249" t="s">
        <v>48</v>
      </c>
      <c r="D249" t="s">
        <v>70</v>
      </c>
      <c r="E249" t="s">
        <v>13</v>
      </c>
      <c r="F249" t="s">
        <v>14</v>
      </c>
      <c r="G249" t="s">
        <v>15</v>
      </c>
      <c r="H249" s="5">
        <v>6</v>
      </c>
      <c r="I249" s="3">
        <v>40830</v>
      </c>
      <c r="J249" s="10">
        <v>0</v>
      </c>
      <c r="K249" s="2">
        <v>195984</v>
      </c>
      <c r="L249" s="2">
        <f>Raw_Sales_Data3[[#This Row],[Quantity]]*Raw_Sales_Data3[[#This Row],[Unit Price]]*(Raw_Sales_Data3[[#This Row],[Discount %]]/100)</f>
        <v>0</v>
      </c>
      <c r="M249" t="str">
        <f>IF(COUNTIF(Raw_Sales_Data3[Order ID],Raw_Sales_Data3[[#This Row],[Order ID]])&gt;1,"Duplicate Order ID","Unique Order ID")</f>
        <v>Unique Order ID</v>
      </c>
    </row>
    <row r="250" spans="1:13" x14ac:dyDescent="0.3">
      <c r="A250" t="s">
        <v>305</v>
      </c>
      <c r="B250" s="1">
        <v>46079</v>
      </c>
      <c r="C250" t="s">
        <v>33</v>
      </c>
      <c r="D250" t="s">
        <v>70</v>
      </c>
      <c r="E250" t="s">
        <v>18</v>
      </c>
      <c r="F250" t="s">
        <v>24</v>
      </c>
      <c r="G250" t="s">
        <v>25</v>
      </c>
      <c r="H250" s="5">
        <v>8</v>
      </c>
      <c r="I250" s="3">
        <v>40619</v>
      </c>
      <c r="J250" s="10">
        <v>0</v>
      </c>
      <c r="K250" s="2">
        <v>276209.2</v>
      </c>
      <c r="L250" s="2">
        <f>Raw_Sales_Data3[[#This Row],[Quantity]]*Raw_Sales_Data3[[#This Row],[Unit Price]]*(Raw_Sales_Data3[[#This Row],[Discount %]]/100)</f>
        <v>0</v>
      </c>
      <c r="M250" t="str">
        <f>IF(COUNTIF(Raw_Sales_Data3[Order ID],Raw_Sales_Data3[[#This Row],[Order ID]])&gt;1,"Duplicate Order ID","Unique Order ID")</f>
        <v>Unique Order ID</v>
      </c>
    </row>
    <row r="251" spans="1:13" x14ac:dyDescent="0.3">
      <c r="A251" t="s">
        <v>306</v>
      </c>
      <c r="B251" s="1">
        <v>46072</v>
      </c>
      <c r="C251" t="s">
        <v>50</v>
      </c>
      <c r="D251" t="s">
        <v>70</v>
      </c>
      <c r="E251" t="s">
        <v>34</v>
      </c>
      <c r="F251" t="s">
        <v>19</v>
      </c>
      <c r="G251" t="s">
        <v>147</v>
      </c>
      <c r="H251" s="5">
        <v>12</v>
      </c>
      <c r="I251" s="3">
        <v>32315</v>
      </c>
      <c r="J251" s="10">
        <v>20</v>
      </c>
      <c r="K251" s="2">
        <v>310224</v>
      </c>
      <c r="L251" s="2">
        <f>Raw_Sales_Data3[[#This Row],[Quantity]]*Raw_Sales_Data3[[#This Row],[Unit Price]]*(Raw_Sales_Data3[[#This Row],[Discount %]]/100)</f>
        <v>77556</v>
      </c>
      <c r="M251" t="str">
        <f>IF(COUNTIF(Raw_Sales_Data3[Order ID],Raw_Sales_Data3[[#This Row],[Order ID]])&gt;1,"Duplicate Order ID","Unique Order ID")</f>
        <v>Unique Order ID</v>
      </c>
    </row>
    <row r="252" spans="1:13" x14ac:dyDescent="0.3">
      <c r="A252" t="s">
        <v>307</v>
      </c>
      <c r="B252" s="1">
        <v>46072</v>
      </c>
      <c r="C252" t="s">
        <v>62</v>
      </c>
      <c r="D252" t="s">
        <v>70</v>
      </c>
      <c r="E252" t="s">
        <v>18</v>
      </c>
      <c r="F252" t="s">
        <v>14</v>
      </c>
      <c r="G252" t="s">
        <v>15</v>
      </c>
      <c r="H252" s="5">
        <v>13</v>
      </c>
      <c r="I252" s="3">
        <v>37657</v>
      </c>
      <c r="J252" s="10">
        <v>15</v>
      </c>
      <c r="K252" s="2">
        <v>416109.85</v>
      </c>
      <c r="L252" s="2">
        <f>Raw_Sales_Data3[[#This Row],[Quantity]]*Raw_Sales_Data3[[#This Row],[Unit Price]]*(Raw_Sales_Data3[[#This Row],[Discount %]]/100)</f>
        <v>73431.149999999994</v>
      </c>
      <c r="M252" t="str">
        <f>IF(COUNTIF(Raw_Sales_Data3[Order ID],Raw_Sales_Data3[[#This Row],[Order ID]])&gt;1,"Duplicate Order ID","Unique Order ID")</f>
        <v>Unique Order ID</v>
      </c>
    </row>
    <row r="253" spans="1:13" x14ac:dyDescent="0.3">
      <c r="A253" t="s">
        <v>308</v>
      </c>
      <c r="B253" s="1">
        <v>46033</v>
      </c>
      <c r="C253" t="s">
        <v>54</v>
      </c>
      <c r="D253" t="s">
        <v>70</v>
      </c>
      <c r="E253" t="s">
        <v>28</v>
      </c>
      <c r="F253" t="s">
        <v>24</v>
      </c>
      <c r="G253" t="s">
        <v>71</v>
      </c>
      <c r="H253" s="5">
        <v>4</v>
      </c>
      <c r="I253" s="3">
        <v>8395</v>
      </c>
      <c r="J253" s="10">
        <v>20</v>
      </c>
      <c r="K253" s="2">
        <v>26864</v>
      </c>
      <c r="L253" s="2">
        <f>Raw_Sales_Data3[[#This Row],[Quantity]]*Raw_Sales_Data3[[#This Row],[Unit Price]]*(Raw_Sales_Data3[[#This Row],[Discount %]]/100)</f>
        <v>6716</v>
      </c>
      <c r="M253" t="str">
        <f>IF(COUNTIF(Raw_Sales_Data3[Order ID],Raw_Sales_Data3[[#This Row],[Order ID]])&gt;1,"Duplicate Order ID","Unique Order ID")</f>
        <v>Unique Order ID</v>
      </c>
    </row>
    <row r="254" spans="1:13" x14ac:dyDescent="0.3">
      <c r="A254" t="s">
        <v>309</v>
      </c>
      <c r="B254" s="1">
        <v>46023</v>
      </c>
      <c r="C254" t="s">
        <v>38</v>
      </c>
      <c r="D254" t="s">
        <v>70</v>
      </c>
      <c r="E254" t="s">
        <v>34</v>
      </c>
      <c r="F254" t="s">
        <v>19</v>
      </c>
      <c r="G254" t="s">
        <v>20</v>
      </c>
      <c r="H254" s="5">
        <v>8</v>
      </c>
      <c r="I254" s="3">
        <f>K254/H254</f>
        <v>9405.6</v>
      </c>
      <c r="J254" s="10">
        <v>20</v>
      </c>
      <c r="K254" s="2">
        <v>75244.800000000003</v>
      </c>
      <c r="L254" s="2">
        <f>Raw_Sales_Data3[[#This Row],[Quantity]]*Raw_Sales_Data3[[#This Row],[Unit Price]]*(Raw_Sales_Data3[[#This Row],[Discount %]]/100)</f>
        <v>15048.960000000001</v>
      </c>
      <c r="M254" t="str">
        <f>IF(COUNTIF(Raw_Sales_Data3[Order ID],Raw_Sales_Data3[[#This Row],[Order ID]])&gt;1,"Duplicate Order ID","Unique Order ID")</f>
        <v>Unique Order ID</v>
      </c>
    </row>
    <row r="255" spans="1:13" x14ac:dyDescent="0.3">
      <c r="A255" t="s">
        <v>310</v>
      </c>
      <c r="B255" s="1">
        <v>46092</v>
      </c>
      <c r="C255" t="s">
        <v>54</v>
      </c>
      <c r="D255" t="s">
        <v>23</v>
      </c>
      <c r="E255" t="s">
        <v>18</v>
      </c>
      <c r="F255" t="s">
        <v>24</v>
      </c>
      <c r="G255" t="s">
        <v>55</v>
      </c>
      <c r="H255" s="5">
        <v>5</v>
      </c>
      <c r="I255" s="3">
        <v>11027</v>
      </c>
      <c r="J255" s="10">
        <v>10</v>
      </c>
      <c r="K255" s="2">
        <v>49621.5</v>
      </c>
      <c r="L255" s="2">
        <f>Raw_Sales_Data3[[#This Row],[Quantity]]*Raw_Sales_Data3[[#This Row],[Unit Price]]*(Raw_Sales_Data3[[#This Row],[Discount %]]/100)</f>
        <v>5513.5</v>
      </c>
      <c r="M255" t="str">
        <f>IF(COUNTIF(Raw_Sales_Data3[Order ID],Raw_Sales_Data3[[#This Row],[Order ID]])&gt;1,"Duplicate Order ID","Unique Order ID")</f>
        <v>Unique Order ID</v>
      </c>
    </row>
    <row r="256" spans="1:13" x14ac:dyDescent="0.3">
      <c r="A256" t="s">
        <v>311</v>
      </c>
      <c r="B256" s="1">
        <v>46034</v>
      </c>
      <c r="C256" t="s">
        <v>27</v>
      </c>
      <c r="D256" t="s">
        <v>23</v>
      </c>
      <c r="E256" t="s">
        <v>39</v>
      </c>
      <c r="F256" t="s">
        <v>24</v>
      </c>
      <c r="G256" t="s">
        <v>55</v>
      </c>
      <c r="H256" s="5">
        <v>11</v>
      </c>
      <c r="I256" s="3">
        <v>15365</v>
      </c>
      <c r="J256" s="10">
        <v>0</v>
      </c>
      <c r="K256" s="2">
        <v>169015</v>
      </c>
      <c r="L256" s="2">
        <f>Raw_Sales_Data3[[#This Row],[Quantity]]*Raw_Sales_Data3[[#This Row],[Unit Price]]*(Raw_Sales_Data3[[#This Row],[Discount %]]/100)</f>
        <v>0</v>
      </c>
      <c r="M256" t="str">
        <f>IF(COUNTIF(Raw_Sales_Data3[Order ID],Raw_Sales_Data3[[#This Row],[Order ID]])&gt;1,"Duplicate Order ID","Unique Order ID")</f>
        <v>Unique Order ID</v>
      </c>
    </row>
    <row r="257" spans="1:13" x14ac:dyDescent="0.3">
      <c r="A257" t="s">
        <v>312</v>
      </c>
      <c r="B257" s="1">
        <v>46039</v>
      </c>
      <c r="C257" t="s">
        <v>89</v>
      </c>
      <c r="D257" t="s">
        <v>43</v>
      </c>
      <c r="E257" t="s">
        <v>28</v>
      </c>
      <c r="F257" t="s">
        <v>24</v>
      </c>
      <c r="G257" t="s">
        <v>77</v>
      </c>
      <c r="H257" s="5">
        <v>8</v>
      </c>
      <c r="I257" s="3">
        <v>48454</v>
      </c>
      <c r="J257" s="10">
        <v>20</v>
      </c>
      <c r="K257" s="2">
        <v>310105.59999999998</v>
      </c>
      <c r="L257" s="2">
        <f>Raw_Sales_Data3[[#This Row],[Quantity]]*Raw_Sales_Data3[[#This Row],[Unit Price]]*(Raw_Sales_Data3[[#This Row],[Discount %]]/100)</f>
        <v>77526.400000000009</v>
      </c>
      <c r="M257" t="str">
        <f>IF(COUNTIF(Raw_Sales_Data3[Order ID],Raw_Sales_Data3[[#This Row],[Order ID]])&gt;1,"Duplicate Order ID","Unique Order ID")</f>
        <v>Unique Order ID</v>
      </c>
    </row>
    <row r="258" spans="1:13" x14ac:dyDescent="0.3">
      <c r="A258" t="s">
        <v>313</v>
      </c>
      <c r="B258" s="1">
        <v>46026</v>
      </c>
      <c r="C258" t="s">
        <v>91</v>
      </c>
      <c r="D258" t="s">
        <v>58</v>
      </c>
      <c r="E258" t="s">
        <v>28</v>
      </c>
      <c r="F258" t="s">
        <v>14</v>
      </c>
      <c r="G258" t="s">
        <v>103</v>
      </c>
      <c r="H258" s="5">
        <v>15</v>
      </c>
      <c r="I258" s="3">
        <v>7057</v>
      </c>
      <c r="J258" s="10">
        <v>5</v>
      </c>
      <c r="K258" s="2">
        <v>100562.25</v>
      </c>
      <c r="L258" s="2">
        <f>Raw_Sales_Data3[[#This Row],[Quantity]]*Raw_Sales_Data3[[#This Row],[Unit Price]]*(Raw_Sales_Data3[[#This Row],[Discount %]]/100)</f>
        <v>5292.75</v>
      </c>
      <c r="M258" t="str">
        <f>IF(COUNTIF(Raw_Sales_Data3[Order ID],Raw_Sales_Data3[[#This Row],[Order ID]])&gt;1,"Duplicate Order ID","Unique Order ID")</f>
        <v>Unique Order ID</v>
      </c>
    </row>
    <row r="259" spans="1:13" x14ac:dyDescent="0.3">
      <c r="A259" t="s">
        <v>314</v>
      </c>
      <c r="B259" s="1">
        <v>46101</v>
      </c>
      <c r="C259" t="s">
        <v>17</v>
      </c>
      <c r="D259" t="s">
        <v>23</v>
      </c>
      <c r="E259" t="s">
        <v>28</v>
      </c>
      <c r="F259" t="s">
        <v>19</v>
      </c>
      <c r="G259" t="s">
        <v>1038</v>
      </c>
      <c r="H259" s="5">
        <v>11</v>
      </c>
      <c r="I259" s="3">
        <v>35727</v>
      </c>
      <c r="J259" s="10">
        <v>0</v>
      </c>
      <c r="K259" s="2">
        <v>392997</v>
      </c>
      <c r="L259" s="2">
        <f>Raw_Sales_Data3[[#This Row],[Quantity]]*Raw_Sales_Data3[[#This Row],[Unit Price]]*(Raw_Sales_Data3[[#This Row],[Discount %]]/100)</f>
        <v>0</v>
      </c>
      <c r="M259" t="str">
        <f>IF(COUNTIF(Raw_Sales_Data3[Order ID],Raw_Sales_Data3[[#This Row],[Order ID]])&gt;1,"Duplicate Order ID","Unique Order ID")</f>
        <v>Unique Order ID</v>
      </c>
    </row>
    <row r="260" spans="1:13" x14ac:dyDescent="0.3">
      <c r="A260" t="s">
        <v>315</v>
      </c>
      <c r="B260" s="1">
        <v>46098</v>
      </c>
      <c r="C260" t="s">
        <v>36</v>
      </c>
      <c r="D260" t="s">
        <v>58</v>
      </c>
      <c r="E260" t="s">
        <v>13</v>
      </c>
      <c r="F260" t="s">
        <v>24</v>
      </c>
      <c r="G260" t="s">
        <v>53</v>
      </c>
      <c r="H260" s="5">
        <v>8</v>
      </c>
      <c r="I260" s="3">
        <v>7561</v>
      </c>
      <c r="J260" s="10">
        <v>5</v>
      </c>
      <c r="K260" s="2">
        <v>57463.6</v>
      </c>
      <c r="L260" s="2">
        <f>Raw_Sales_Data3[[#This Row],[Quantity]]*Raw_Sales_Data3[[#This Row],[Unit Price]]*(Raw_Sales_Data3[[#This Row],[Discount %]]/100)</f>
        <v>3024.4</v>
      </c>
      <c r="M260" t="str">
        <f>IF(COUNTIF(Raw_Sales_Data3[Order ID],Raw_Sales_Data3[[#This Row],[Order ID]])&gt;1,"Duplicate Order ID","Unique Order ID")</f>
        <v>Unique Order ID</v>
      </c>
    </row>
    <row r="261" spans="1:13" x14ac:dyDescent="0.3">
      <c r="A261" t="s">
        <v>316</v>
      </c>
      <c r="B261" s="1">
        <v>46102</v>
      </c>
      <c r="C261" t="s">
        <v>38</v>
      </c>
      <c r="D261" t="s">
        <v>58</v>
      </c>
      <c r="E261" t="s">
        <v>34</v>
      </c>
      <c r="F261" t="s">
        <v>14</v>
      </c>
      <c r="G261" t="s">
        <v>103</v>
      </c>
      <c r="H261" s="5">
        <f>K261/(I261*(1-J261/100))</f>
        <v>2</v>
      </c>
      <c r="I261" s="3">
        <v>38377</v>
      </c>
      <c r="J261" s="10">
        <v>15</v>
      </c>
      <c r="K261" s="2">
        <v>65240.9</v>
      </c>
      <c r="L261" s="2">
        <f>Raw_Sales_Data3[[#This Row],[Quantity]]*Raw_Sales_Data3[[#This Row],[Unit Price]]*(Raw_Sales_Data3[[#This Row],[Discount %]]/100)</f>
        <v>11513.1</v>
      </c>
      <c r="M261" t="str">
        <f>IF(COUNTIF(Raw_Sales_Data3[Order ID],Raw_Sales_Data3[[#This Row],[Order ID]])&gt;1,"Duplicate Order ID","Unique Order ID")</f>
        <v>Unique Order ID</v>
      </c>
    </row>
    <row r="262" spans="1:13" x14ac:dyDescent="0.3">
      <c r="A262" t="s">
        <v>317</v>
      </c>
      <c r="B262" s="1">
        <v>46077</v>
      </c>
      <c r="C262" t="s">
        <v>45</v>
      </c>
      <c r="D262" t="s">
        <v>70</v>
      </c>
      <c r="E262" t="s">
        <v>18</v>
      </c>
      <c r="F262" t="s">
        <v>24</v>
      </c>
      <c r="G262" t="s">
        <v>77</v>
      </c>
      <c r="H262" s="5">
        <v>10</v>
      </c>
      <c r="I262" s="3">
        <v>58847</v>
      </c>
      <c r="J262" s="10">
        <v>5</v>
      </c>
      <c r="K262" s="2">
        <v>559046.5</v>
      </c>
      <c r="L262" s="2">
        <f>Raw_Sales_Data3[[#This Row],[Quantity]]*Raw_Sales_Data3[[#This Row],[Unit Price]]*(Raw_Sales_Data3[[#This Row],[Discount %]]/100)</f>
        <v>29423.5</v>
      </c>
      <c r="M262" t="str">
        <f>IF(COUNTIF(Raw_Sales_Data3[Order ID],Raw_Sales_Data3[[#This Row],[Order ID]])&gt;1,"Duplicate Order ID","Unique Order ID")</f>
        <v>Unique Order ID</v>
      </c>
    </row>
    <row r="263" spans="1:13" x14ac:dyDescent="0.3">
      <c r="A263" t="s">
        <v>318</v>
      </c>
      <c r="B263" s="1">
        <v>46023</v>
      </c>
      <c r="C263" t="s">
        <v>12</v>
      </c>
      <c r="D263" t="s">
        <v>23</v>
      </c>
      <c r="E263" t="s">
        <v>28</v>
      </c>
      <c r="F263" t="s">
        <v>24</v>
      </c>
      <c r="G263" t="s">
        <v>29</v>
      </c>
      <c r="H263" s="5">
        <v>14</v>
      </c>
      <c r="I263" s="3">
        <v>6441</v>
      </c>
      <c r="J263" s="10">
        <v>10</v>
      </c>
      <c r="K263" s="2">
        <v>81156.600000000006</v>
      </c>
      <c r="L263" s="2">
        <f>Raw_Sales_Data3[[#This Row],[Quantity]]*Raw_Sales_Data3[[#This Row],[Unit Price]]*(Raw_Sales_Data3[[#This Row],[Discount %]]/100)</f>
        <v>9017.4</v>
      </c>
      <c r="M263" t="str">
        <f>IF(COUNTIF(Raw_Sales_Data3[Order ID],Raw_Sales_Data3[[#This Row],[Order ID]])&gt;1,"Duplicate Order ID","Unique Order ID")</f>
        <v>Unique Order ID</v>
      </c>
    </row>
    <row r="264" spans="1:13" x14ac:dyDescent="0.3">
      <c r="A264" t="s">
        <v>319</v>
      </c>
      <c r="B264" s="1">
        <v>46064</v>
      </c>
      <c r="C264" t="s">
        <v>48</v>
      </c>
      <c r="D264" t="s">
        <v>70</v>
      </c>
      <c r="E264" t="s">
        <v>34</v>
      </c>
      <c r="F264" t="s">
        <v>19</v>
      </c>
      <c r="G264" t="s">
        <v>79</v>
      </c>
      <c r="H264" s="5">
        <v>8</v>
      </c>
      <c r="I264" s="3">
        <v>47803</v>
      </c>
      <c r="J264" s="10">
        <v>0</v>
      </c>
      <c r="K264" s="2">
        <v>382424</v>
      </c>
      <c r="L264" s="2">
        <f>Raw_Sales_Data3[[#This Row],[Quantity]]*Raw_Sales_Data3[[#This Row],[Unit Price]]*(Raw_Sales_Data3[[#This Row],[Discount %]]/100)</f>
        <v>0</v>
      </c>
      <c r="M264" t="str">
        <f>IF(COUNTIF(Raw_Sales_Data3[Order ID],Raw_Sales_Data3[[#This Row],[Order ID]])&gt;1,"Duplicate Order ID","Unique Order ID")</f>
        <v>Unique Order ID</v>
      </c>
    </row>
    <row r="265" spans="1:13" x14ac:dyDescent="0.3">
      <c r="A265" t="s">
        <v>320</v>
      </c>
      <c r="B265" s="1">
        <v>46087</v>
      </c>
      <c r="C265" t="s">
        <v>38</v>
      </c>
      <c r="D265" t="s">
        <v>58</v>
      </c>
      <c r="E265" t="s">
        <v>13</v>
      </c>
      <c r="F265" t="s">
        <v>24</v>
      </c>
      <c r="G265" t="s">
        <v>53</v>
      </c>
      <c r="H265" s="5">
        <v>9</v>
      </c>
      <c r="I265" s="3">
        <v>43794</v>
      </c>
      <c r="J265" s="10">
        <v>15</v>
      </c>
      <c r="K265" s="2">
        <v>335024.09999999998</v>
      </c>
      <c r="L265" s="2">
        <f>Raw_Sales_Data3[[#This Row],[Quantity]]*Raw_Sales_Data3[[#This Row],[Unit Price]]*(Raw_Sales_Data3[[#This Row],[Discount %]]/100)</f>
        <v>59121.899999999994</v>
      </c>
      <c r="M265" t="str">
        <f>IF(COUNTIF(Raw_Sales_Data3[Order ID],Raw_Sales_Data3[[#This Row],[Order ID]])&gt;1,"Duplicate Order ID","Unique Order ID")</f>
        <v>Unique Order ID</v>
      </c>
    </row>
    <row r="266" spans="1:13" x14ac:dyDescent="0.3">
      <c r="A266" t="s">
        <v>321</v>
      </c>
      <c r="B266" s="1">
        <v>46062</v>
      </c>
      <c r="C266" t="s">
        <v>123</v>
      </c>
      <c r="D266" t="s">
        <v>43</v>
      </c>
      <c r="E266" t="s">
        <v>28</v>
      </c>
      <c r="F266" t="s">
        <v>14</v>
      </c>
      <c r="G266" t="s">
        <v>51</v>
      </c>
      <c r="H266" s="5">
        <v>12</v>
      </c>
      <c r="I266" s="3">
        <v>49714</v>
      </c>
      <c r="J266" s="10">
        <v>15</v>
      </c>
      <c r="K266" s="2">
        <v>507082.8</v>
      </c>
      <c r="L266" s="2">
        <f>Raw_Sales_Data3[[#This Row],[Quantity]]*Raw_Sales_Data3[[#This Row],[Unit Price]]*(Raw_Sales_Data3[[#This Row],[Discount %]]/100)</f>
        <v>89485.2</v>
      </c>
      <c r="M266" t="str">
        <f>IF(COUNTIF(Raw_Sales_Data3[Order ID],Raw_Sales_Data3[[#This Row],[Order ID]])&gt;1,"Duplicate Order ID","Unique Order ID")</f>
        <v>Unique Order ID</v>
      </c>
    </row>
    <row r="267" spans="1:13" x14ac:dyDescent="0.3">
      <c r="A267" t="s">
        <v>322</v>
      </c>
      <c r="B267" s="1">
        <v>46087</v>
      </c>
      <c r="C267" t="s">
        <v>91</v>
      </c>
      <c r="D267" t="s">
        <v>43</v>
      </c>
      <c r="E267" t="s">
        <v>28</v>
      </c>
      <c r="F267" t="s">
        <v>24</v>
      </c>
      <c r="G267" t="s">
        <v>25</v>
      </c>
      <c r="H267" s="5">
        <v>15</v>
      </c>
      <c r="I267" s="3">
        <v>58309</v>
      </c>
      <c r="J267" s="10">
        <v>5</v>
      </c>
      <c r="K267" s="2">
        <v>830903.25</v>
      </c>
      <c r="L267" s="2">
        <f>Raw_Sales_Data3[[#This Row],[Quantity]]*Raw_Sales_Data3[[#This Row],[Unit Price]]*(Raw_Sales_Data3[[#This Row],[Discount %]]/100)</f>
        <v>43731.75</v>
      </c>
      <c r="M267" t="str">
        <f>IF(COUNTIF(Raw_Sales_Data3[Order ID],Raw_Sales_Data3[[#This Row],[Order ID]])&gt;1,"Duplicate Order ID","Unique Order ID")</f>
        <v>Unique Order ID</v>
      </c>
    </row>
    <row r="268" spans="1:13" x14ac:dyDescent="0.3">
      <c r="A268" t="s">
        <v>323</v>
      </c>
      <c r="B268" s="1">
        <v>46111</v>
      </c>
      <c r="C268" t="s">
        <v>12</v>
      </c>
      <c r="D268" t="s">
        <v>43</v>
      </c>
      <c r="E268" t="s">
        <v>39</v>
      </c>
      <c r="F268" t="s">
        <v>14</v>
      </c>
      <c r="G268" t="s">
        <v>51</v>
      </c>
      <c r="H268" s="5">
        <v>8</v>
      </c>
      <c r="I268" s="3">
        <v>22193</v>
      </c>
      <c r="J268" s="10">
        <v>15</v>
      </c>
      <c r="K268" s="2">
        <v>150912.4</v>
      </c>
      <c r="L268" s="2">
        <f>Raw_Sales_Data3[[#This Row],[Quantity]]*Raw_Sales_Data3[[#This Row],[Unit Price]]*(Raw_Sales_Data3[[#This Row],[Discount %]]/100)</f>
        <v>26631.599999999999</v>
      </c>
      <c r="M268" t="str">
        <f>IF(COUNTIF(Raw_Sales_Data3[Order ID],Raw_Sales_Data3[[#This Row],[Order ID]])&gt;1,"Duplicate Order ID","Unique Order ID")</f>
        <v>Unique Order ID</v>
      </c>
    </row>
    <row r="269" spans="1:13" x14ac:dyDescent="0.3">
      <c r="A269" t="s">
        <v>324</v>
      </c>
      <c r="B269" s="1">
        <v>46089</v>
      </c>
      <c r="C269" t="s">
        <v>89</v>
      </c>
      <c r="D269" t="s">
        <v>43</v>
      </c>
      <c r="E269" t="s">
        <v>39</v>
      </c>
      <c r="F269" t="s">
        <v>19</v>
      </c>
      <c r="G269" t="s">
        <v>117</v>
      </c>
      <c r="H269" s="5">
        <v>2</v>
      </c>
      <c r="I269" s="3">
        <v>58871</v>
      </c>
      <c r="J269" s="10">
        <v>20</v>
      </c>
      <c r="K269" s="2">
        <v>94193.600000000006</v>
      </c>
      <c r="L269" s="2">
        <f>Raw_Sales_Data3[[#This Row],[Quantity]]*Raw_Sales_Data3[[#This Row],[Unit Price]]*(Raw_Sales_Data3[[#This Row],[Discount %]]/100)</f>
        <v>23548.400000000001</v>
      </c>
      <c r="M269" t="str">
        <f>IF(COUNTIF(Raw_Sales_Data3[Order ID],Raw_Sales_Data3[[#This Row],[Order ID]])&gt;1,"Duplicate Order ID","Unique Order ID")</f>
        <v>Unique Order ID</v>
      </c>
    </row>
    <row r="270" spans="1:13" x14ac:dyDescent="0.3">
      <c r="A270" t="s">
        <v>325</v>
      </c>
      <c r="B270" s="1">
        <v>46027</v>
      </c>
      <c r="C270" t="s">
        <v>36</v>
      </c>
      <c r="D270" t="s">
        <v>23</v>
      </c>
      <c r="E270" t="s">
        <v>18</v>
      </c>
      <c r="F270" t="s">
        <v>14</v>
      </c>
      <c r="G270" t="s">
        <v>15</v>
      </c>
      <c r="H270" s="5">
        <v>2</v>
      </c>
      <c r="I270" s="3">
        <v>41211</v>
      </c>
      <c r="J270" s="10">
        <v>10</v>
      </c>
      <c r="K270" s="2">
        <v>74179.8</v>
      </c>
      <c r="L270" s="2">
        <f>Raw_Sales_Data3[[#This Row],[Quantity]]*Raw_Sales_Data3[[#This Row],[Unit Price]]*(Raw_Sales_Data3[[#This Row],[Discount %]]/100)</f>
        <v>8242.2000000000007</v>
      </c>
      <c r="M270" t="str">
        <f>IF(COUNTIF(Raw_Sales_Data3[Order ID],Raw_Sales_Data3[[#This Row],[Order ID]])&gt;1,"Duplicate Order ID","Unique Order ID")</f>
        <v>Unique Order ID</v>
      </c>
    </row>
    <row r="271" spans="1:13" x14ac:dyDescent="0.3">
      <c r="A271" t="s">
        <v>326</v>
      </c>
      <c r="B271" s="1">
        <v>46044</v>
      </c>
      <c r="C271" t="s">
        <v>33</v>
      </c>
      <c r="D271" t="s">
        <v>70</v>
      </c>
      <c r="E271" t="s">
        <v>34</v>
      </c>
      <c r="F271" t="s">
        <v>14</v>
      </c>
      <c r="G271" t="s">
        <v>156</v>
      </c>
      <c r="H271" s="5">
        <v>14</v>
      </c>
      <c r="I271" s="3">
        <v>19856</v>
      </c>
      <c r="J271" s="10">
        <v>15</v>
      </c>
      <c r="K271" s="2">
        <v>236286.4</v>
      </c>
      <c r="L271" s="2">
        <f>Raw_Sales_Data3[[#This Row],[Quantity]]*Raw_Sales_Data3[[#This Row],[Unit Price]]*(Raw_Sales_Data3[[#This Row],[Discount %]]/100)</f>
        <v>41697.599999999999</v>
      </c>
      <c r="M271" t="str">
        <f>IF(COUNTIF(Raw_Sales_Data3[Order ID],Raw_Sales_Data3[[#This Row],[Order ID]])&gt;1,"Duplicate Order ID","Unique Order ID")</f>
        <v>Unique Order ID</v>
      </c>
    </row>
    <row r="272" spans="1:13" x14ac:dyDescent="0.3">
      <c r="A272" t="s">
        <v>327</v>
      </c>
      <c r="B272" s="1">
        <v>46107</v>
      </c>
      <c r="C272" t="s">
        <v>91</v>
      </c>
      <c r="D272" t="s">
        <v>58</v>
      </c>
      <c r="E272" t="s">
        <v>28</v>
      </c>
      <c r="F272" t="s">
        <v>19</v>
      </c>
      <c r="G272" t="s">
        <v>59</v>
      </c>
      <c r="H272" s="5">
        <v>1</v>
      </c>
      <c r="I272" s="3">
        <v>1140</v>
      </c>
      <c r="J272" s="10">
        <v>0</v>
      </c>
      <c r="K272" s="2">
        <v>1140</v>
      </c>
      <c r="L272" s="2">
        <f>Raw_Sales_Data3[[#This Row],[Quantity]]*Raw_Sales_Data3[[#This Row],[Unit Price]]*(Raw_Sales_Data3[[#This Row],[Discount %]]/100)</f>
        <v>0</v>
      </c>
      <c r="M272" t="str">
        <f>IF(COUNTIF(Raw_Sales_Data3[Order ID],Raw_Sales_Data3[[#This Row],[Order ID]])&gt;1,"Duplicate Order ID","Unique Order ID")</f>
        <v>Unique Order ID</v>
      </c>
    </row>
    <row r="273" spans="1:13" x14ac:dyDescent="0.3">
      <c r="A273" t="s">
        <v>328</v>
      </c>
      <c r="B273" s="1">
        <v>46051</v>
      </c>
      <c r="C273" t="s">
        <v>33</v>
      </c>
      <c r="D273" t="s">
        <v>58</v>
      </c>
      <c r="E273" t="s">
        <v>28</v>
      </c>
      <c r="F273" t="s">
        <v>14</v>
      </c>
      <c r="G273" t="s">
        <v>73</v>
      </c>
      <c r="H273" s="5">
        <v>12</v>
      </c>
      <c r="I273" s="3">
        <v>23013</v>
      </c>
      <c r="J273" s="10">
        <v>5</v>
      </c>
      <c r="K273" s="2">
        <v>262348.2</v>
      </c>
      <c r="L273" s="2">
        <f>Raw_Sales_Data3[[#This Row],[Quantity]]*Raw_Sales_Data3[[#This Row],[Unit Price]]*(Raw_Sales_Data3[[#This Row],[Discount %]]/100)</f>
        <v>13807.800000000001</v>
      </c>
      <c r="M273" t="str">
        <f>IF(COUNTIF(Raw_Sales_Data3[Order ID],Raw_Sales_Data3[[#This Row],[Order ID]])&gt;1,"Duplicate Order ID","Unique Order ID")</f>
        <v>Unique Order ID</v>
      </c>
    </row>
    <row r="274" spans="1:13" x14ac:dyDescent="0.3">
      <c r="A274" t="s">
        <v>329</v>
      </c>
      <c r="B274" s="1">
        <v>46069</v>
      </c>
      <c r="C274" t="s">
        <v>50</v>
      </c>
      <c r="D274" t="s">
        <v>43</v>
      </c>
      <c r="E274" t="s">
        <v>28</v>
      </c>
      <c r="F274" t="s">
        <v>24</v>
      </c>
      <c r="G274" t="s">
        <v>53</v>
      </c>
      <c r="H274" s="5">
        <v>4</v>
      </c>
      <c r="I274" s="3">
        <v>57641</v>
      </c>
      <c r="J274" s="10">
        <v>0</v>
      </c>
      <c r="K274" s="2">
        <v>230564</v>
      </c>
      <c r="L274" s="2">
        <f>Raw_Sales_Data3[[#This Row],[Quantity]]*Raw_Sales_Data3[[#This Row],[Unit Price]]*(Raw_Sales_Data3[[#This Row],[Discount %]]/100)</f>
        <v>0</v>
      </c>
      <c r="M274" t="str">
        <f>IF(COUNTIF(Raw_Sales_Data3[Order ID],Raw_Sales_Data3[[#This Row],[Order ID]])&gt;1,"Duplicate Order ID","Unique Order ID")</f>
        <v>Unique Order ID</v>
      </c>
    </row>
    <row r="275" spans="1:13" x14ac:dyDescent="0.3">
      <c r="A275" t="s">
        <v>330</v>
      </c>
      <c r="B275" s="1">
        <v>46088</v>
      </c>
      <c r="C275" t="s">
        <v>48</v>
      </c>
      <c r="D275" t="s">
        <v>70</v>
      </c>
      <c r="E275" t="s">
        <v>18</v>
      </c>
      <c r="F275" t="s">
        <v>19</v>
      </c>
      <c r="G275" t="s">
        <v>46</v>
      </c>
      <c r="H275" s="5">
        <v>14</v>
      </c>
      <c r="I275" s="3">
        <v>9204</v>
      </c>
      <c r="J275" s="10">
        <v>0</v>
      </c>
      <c r="K275" s="2">
        <v>128856</v>
      </c>
      <c r="L275" s="2">
        <f>Raw_Sales_Data3[[#This Row],[Quantity]]*Raw_Sales_Data3[[#This Row],[Unit Price]]*(Raw_Sales_Data3[[#This Row],[Discount %]]/100)</f>
        <v>0</v>
      </c>
      <c r="M275" t="str">
        <f>IF(COUNTIF(Raw_Sales_Data3[Order ID],Raw_Sales_Data3[[#This Row],[Order ID]])&gt;1,"Duplicate Order ID","Unique Order ID")</f>
        <v>Unique Order ID</v>
      </c>
    </row>
    <row r="276" spans="1:13" x14ac:dyDescent="0.3">
      <c r="A276" t="s">
        <v>331</v>
      </c>
      <c r="B276" s="1">
        <v>46030</v>
      </c>
      <c r="C276" t="s">
        <v>38</v>
      </c>
      <c r="D276" t="s">
        <v>58</v>
      </c>
      <c r="E276" t="s">
        <v>39</v>
      </c>
      <c r="F276" t="s">
        <v>19</v>
      </c>
      <c r="G276" t="s">
        <v>79</v>
      </c>
      <c r="H276" s="5">
        <v>3</v>
      </c>
      <c r="I276" s="3">
        <v>25008</v>
      </c>
      <c r="J276" s="10">
        <v>15</v>
      </c>
      <c r="K276" s="2">
        <v>63770.400000000001</v>
      </c>
      <c r="L276" s="2">
        <f>Raw_Sales_Data3[[#This Row],[Quantity]]*Raw_Sales_Data3[[#This Row],[Unit Price]]*(Raw_Sales_Data3[[#This Row],[Discount %]]/100)</f>
        <v>11253.6</v>
      </c>
      <c r="M276" t="str">
        <f>IF(COUNTIF(Raw_Sales_Data3[Order ID],Raw_Sales_Data3[[#This Row],[Order ID]])&gt;1,"Duplicate Order ID","Unique Order ID")</f>
        <v>Unique Order ID</v>
      </c>
    </row>
    <row r="277" spans="1:13" x14ac:dyDescent="0.3">
      <c r="A277" t="s">
        <v>332</v>
      </c>
      <c r="B277" s="1">
        <v>46050</v>
      </c>
      <c r="C277" t="s">
        <v>86</v>
      </c>
      <c r="D277" t="s">
        <v>23</v>
      </c>
      <c r="E277" t="s">
        <v>18</v>
      </c>
      <c r="F277" t="s">
        <v>19</v>
      </c>
      <c r="G277" t="s">
        <v>46</v>
      </c>
      <c r="H277" s="5">
        <v>11</v>
      </c>
      <c r="I277" s="3">
        <v>28284</v>
      </c>
      <c r="J277" s="10">
        <v>0</v>
      </c>
      <c r="K277" s="2">
        <v>264455.40000000002</v>
      </c>
      <c r="L277" s="2">
        <f>Raw_Sales_Data3[[#This Row],[Quantity]]*Raw_Sales_Data3[[#This Row],[Unit Price]]*(Raw_Sales_Data3[[#This Row],[Discount %]]/100)</f>
        <v>0</v>
      </c>
      <c r="M277" t="str">
        <f>IF(COUNTIF(Raw_Sales_Data3[Order ID],Raw_Sales_Data3[[#This Row],[Order ID]])&gt;1,"Duplicate Order ID","Unique Order ID")</f>
        <v>Unique Order ID</v>
      </c>
    </row>
    <row r="278" spans="1:13" x14ac:dyDescent="0.3">
      <c r="A278" t="s">
        <v>333</v>
      </c>
      <c r="B278" s="1">
        <v>46100</v>
      </c>
      <c r="C278" t="s">
        <v>57</v>
      </c>
      <c r="D278" t="s">
        <v>23</v>
      </c>
      <c r="E278" t="s">
        <v>34</v>
      </c>
      <c r="F278" t="s">
        <v>19</v>
      </c>
      <c r="G278" t="s">
        <v>31</v>
      </c>
      <c r="H278" s="5">
        <v>8</v>
      </c>
      <c r="I278" s="3">
        <v>58664</v>
      </c>
      <c r="J278" s="10">
        <v>0</v>
      </c>
      <c r="K278" s="2">
        <v>445846.4</v>
      </c>
      <c r="L278" s="2">
        <f>Raw_Sales_Data3[[#This Row],[Quantity]]*Raw_Sales_Data3[[#This Row],[Unit Price]]*(Raw_Sales_Data3[[#This Row],[Discount %]]/100)</f>
        <v>0</v>
      </c>
      <c r="M278" t="str">
        <f>IF(COUNTIF(Raw_Sales_Data3[Order ID],Raw_Sales_Data3[[#This Row],[Order ID]])&gt;1,"Duplicate Order ID","Unique Order ID")</f>
        <v>Unique Order ID</v>
      </c>
    </row>
    <row r="279" spans="1:13" x14ac:dyDescent="0.3">
      <c r="A279" t="s">
        <v>334</v>
      </c>
      <c r="B279" s="1">
        <v>46030</v>
      </c>
      <c r="C279" t="s">
        <v>50</v>
      </c>
      <c r="D279" t="s">
        <v>70</v>
      </c>
      <c r="E279" t="s">
        <v>18</v>
      </c>
      <c r="F279" t="s">
        <v>14</v>
      </c>
      <c r="G279" t="s">
        <v>125</v>
      </c>
      <c r="H279" s="5">
        <v>13</v>
      </c>
      <c r="I279" s="3">
        <v>11913</v>
      </c>
      <c r="J279" s="10">
        <v>0</v>
      </c>
      <c r="K279" s="2">
        <v>154869</v>
      </c>
      <c r="L279" s="2">
        <f>Raw_Sales_Data3[[#This Row],[Quantity]]*Raw_Sales_Data3[[#This Row],[Unit Price]]*(Raw_Sales_Data3[[#This Row],[Discount %]]/100)</f>
        <v>0</v>
      </c>
      <c r="M279" t="str">
        <f>IF(COUNTIF(Raw_Sales_Data3[Order ID],Raw_Sales_Data3[[#This Row],[Order ID]])&gt;1,"Duplicate Order ID","Unique Order ID")</f>
        <v>Unique Order ID</v>
      </c>
    </row>
    <row r="280" spans="1:13" x14ac:dyDescent="0.3">
      <c r="A280" t="s">
        <v>335</v>
      </c>
      <c r="B280" s="1">
        <v>46032</v>
      </c>
      <c r="C280" t="s">
        <v>27</v>
      </c>
      <c r="D280" t="s">
        <v>23</v>
      </c>
      <c r="E280" t="s">
        <v>18</v>
      </c>
      <c r="F280" t="s">
        <v>24</v>
      </c>
      <c r="G280" t="s">
        <v>71</v>
      </c>
      <c r="H280" s="5">
        <v>12</v>
      </c>
      <c r="I280" s="3">
        <v>57538</v>
      </c>
      <c r="J280" s="10">
        <v>10</v>
      </c>
      <c r="K280" s="2">
        <v>621410.4</v>
      </c>
      <c r="L280" s="2">
        <f>Raw_Sales_Data3[[#This Row],[Quantity]]*Raw_Sales_Data3[[#This Row],[Unit Price]]*(Raw_Sales_Data3[[#This Row],[Discount %]]/100)</f>
        <v>69045.600000000006</v>
      </c>
      <c r="M280" t="str">
        <f>IF(COUNTIF(Raw_Sales_Data3[Order ID],Raw_Sales_Data3[[#This Row],[Order ID]])&gt;1,"Duplicate Order ID","Unique Order ID")</f>
        <v>Unique Order ID</v>
      </c>
    </row>
    <row r="281" spans="1:13" x14ac:dyDescent="0.3">
      <c r="A281" t="s">
        <v>336</v>
      </c>
      <c r="B281" s="1">
        <v>46036</v>
      </c>
      <c r="C281" t="s">
        <v>123</v>
      </c>
      <c r="D281" t="s">
        <v>58</v>
      </c>
      <c r="E281" t="s">
        <v>34</v>
      </c>
      <c r="F281" t="s">
        <v>19</v>
      </c>
      <c r="G281" t="s">
        <v>117</v>
      </c>
      <c r="H281" s="5">
        <v>10</v>
      </c>
      <c r="I281" s="3">
        <v>16146</v>
      </c>
      <c r="J281" s="10">
        <v>15</v>
      </c>
      <c r="K281" s="2">
        <v>137241</v>
      </c>
      <c r="L281" s="2">
        <f>Raw_Sales_Data3[[#This Row],[Quantity]]*Raw_Sales_Data3[[#This Row],[Unit Price]]*(Raw_Sales_Data3[[#This Row],[Discount %]]/100)</f>
        <v>24219</v>
      </c>
      <c r="M281" t="str">
        <f>IF(COUNTIF(Raw_Sales_Data3[Order ID],Raw_Sales_Data3[[#This Row],[Order ID]])&gt;1,"Duplicate Order ID","Unique Order ID")</f>
        <v>Unique Order ID</v>
      </c>
    </row>
    <row r="282" spans="1:13" x14ac:dyDescent="0.3">
      <c r="A282" t="s">
        <v>337</v>
      </c>
      <c r="B282" s="1">
        <v>46028</v>
      </c>
      <c r="C282" t="s">
        <v>45</v>
      </c>
      <c r="D282" t="s">
        <v>43</v>
      </c>
      <c r="E282" t="s">
        <v>39</v>
      </c>
      <c r="F282" t="s">
        <v>14</v>
      </c>
      <c r="G282" t="s">
        <v>66</v>
      </c>
      <c r="H282" s="5">
        <v>11</v>
      </c>
      <c r="I282" s="3">
        <v>15543</v>
      </c>
      <c r="J282" s="10">
        <v>15</v>
      </c>
      <c r="K282" s="2">
        <v>145327.04999999999</v>
      </c>
      <c r="L282" s="2">
        <f>Raw_Sales_Data3[[#This Row],[Quantity]]*Raw_Sales_Data3[[#This Row],[Unit Price]]*(Raw_Sales_Data3[[#This Row],[Discount %]]/100)</f>
        <v>25645.95</v>
      </c>
      <c r="M282" t="str">
        <f>IF(COUNTIF(Raw_Sales_Data3[Order ID],Raw_Sales_Data3[[#This Row],[Order ID]])&gt;1,"Duplicate Order ID","Unique Order ID")</f>
        <v>Unique Order ID</v>
      </c>
    </row>
    <row r="283" spans="1:13" x14ac:dyDescent="0.3">
      <c r="A283" t="s">
        <v>338</v>
      </c>
      <c r="B283" s="1">
        <v>46029</v>
      </c>
      <c r="C283" t="s">
        <v>45</v>
      </c>
      <c r="D283" t="s">
        <v>58</v>
      </c>
      <c r="E283" t="s">
        <v>18</v>
      </c>
      <c r="F283" t="s">
        <v>24</v>
      </c>
      <c r="G283" t="s">
        <v>55</v>
      </c>
      <c r="H283" s="5">
        <v>6</v>
      </c>
      <c r="I283" s="3">
        <v>50957</v>
      </c>
      <c r="J283" s="10">
        <v>0</v>
      </c>
      <c r="K283" s="2">
        <v>305742</v>
      </c>
      <c r="L283" s="2">
        <f>Raw_Sales_Data3[[#This Row],[Quantity]]*Raw_Sales_Data3[[#This Row],[Unit Price]]*(Raw_Sales_Data3[[#This Row],[Discount %]]/100)</f>
        <v>0</v>
      </c>
      <c r="M283" t="str">
        <f>IF(COUNTIF(Raw_Sales_Data3[Order ID],Raw_Sales_Data3[[#This Row],[Order ID]])&gt;1,"Duplicate Order ID","Unique Order ID")</f>
        <v>Unique Order ID</v>
      </c>
    </row>
    <row r="284" spans="1:13" x14ac:dyDescent="0.3">
      <c r="A284" t="s">
        <v>339</v>
      </c>
      <c r="B284" s="1">
        <v>46025</v>
      </c>
      <c r="C284" t="s">
        <v>64</v>
      </c>
      <c r="D284" t="s">
        <v>23</v>
      </c>
      <c r="E284" t="s">
        <v>13</v>
      </c>
      <c r="F284" t="s">
        <v>24</v>
      </c>
      <c r="G284" t="s">
        <v>55</v>
      </c>
      <c r="H284" s="5">
        <v>15</v>
      </c>
      <c r="I284" s="3">
        <v>52801</v>
      </c>
      <c r="J284" s="10">
        <v>20</v>
      </c>
      <c r="K284" s="2">
        <v>633612</v>
      </c>
      <c r="L284" s="2">
        <f>Raw_Sales_Data3[[#This Row],[Quantity]]*Raw_Sales_Data3[[#This Row],[Unit Price]]*(Raw_Sales_Data3[[#This Row],[Discount %]]/100)</f>
        <v>158403</v>
      </c>
      <c r="M284" t="str">
        <f>IF(COUNTIF(Raw_Sales_Data3[Order ID],Raw_Sales_Data3[[#This Row],[Order ID]])&gt;1,"Duplicate Order ID","Unique Order ID")</f>
        <v>Unique Order ID</v>
      </c>
    </row>
    <row r="285" spans="1:13" x14ac:dyDescent="0.3">
      <c r="A285" t="s">
        <v>340</v>
      </c>
      <c r="B285" s="1">
        <v>46055</v>
      </c>
      <c r="C285" t="s">
        <v>27</v>
      </c>
      <c r="D285" t="s">
        <v>23</v>
      </c>
      <c r="E285" t="s">
        <v>18</v>
      </c>
      <c r="F285" t="s">
        <v>14</v>
      </c>
      <c r="G285" t="s">
        <v>156</v>
      </c>
      <c r="H285" s="5">
        <v>8</v>
      </c>
      <c r="I285" s="3">
        <v>17583</v>
      </c>
      <c r="J285" s="10">
        <v>0</v>
      </c>
      <c r="K285" s="2">
        <v>140664</v>
      </c>
      <c r="L285" s="2">
        <f>Raw_Sales_Data3[[#This Row],[Quantity]]*Raw_Sales_Data3[[#This Row],[Unit Price]]*(Raw_Sales_Data3[[#This Row],[Discount %]]/100)</f>
        <v>0</v>
      </c>
      <c r="M285" t="str">
        <f>IF(COUNTIF(Raw_Sales_Data3[Order ID],Raw_Sales_Data3[[#This Row],[Order ID]])&gt;1,"Duplicate Order ID","Unique Order ID")</f>
        <v>Unique Order ID</v>
      </c>
    </row>
    <row r="286" spans="1:13" x14ac:dyDescent="0.3">
      <c r="A286" t="s">
        <v>341</v>
      </c>
      <c r="B286" s="1">
        <v>46037</v>
      </c>
      <c r="C286" t="s">
        <v>64</v>
      </c>
      <c r="D286" t="s">
        <v>43</v>
      </c>
      <c r="E286" t="s">
        <v>13</v>
      </c>
      <c r="F286" t="s">
        <v>24</v>
      </c>
      <c r="G286" t="s">
        <v>25</v>
      </c>
      <c r="H286" s="5">
        <v>15</v>
      </c>
      <c r="I286" s="3">
        <v>47480</v>
      </c>
      <c r="J286" s="10">
        <v>5</v>
      </c>
      <c r="K286" s="2">
        <v>676590</v>
      </c>
      <c r="L286" s="2">
        <f>Raw_Sales_Data3[[#This Row],[Quantity]]*Raw_Sales_Data3[[#This Row],[Unit Price]]*(Raw_Sales_Data3[[#This Row],[Discount %]]/100)</f>
        <v>35610</v>
      </c>
      <c r="M286" t="str">
        <f>IF(COUNTIF(Raw_Sales_Data3[Order ID],Raw_Sales_Data3[[#This Row],[Order ID]])&gt;1,"Duplicate Order ID","Unique Order ID")</f>
        <v>Unique Order ID</v>
      </c>
    </row>
    <row r="287" spans="1:13" x14ac:dyDescent="0.3">
      <c r="A287" t="s">
        <v>342</v>
      </c>
      <c r="B287" s="1">
        <v>46033</v>
      </c>
      <c r="C287" t="s">
        <v>57</v>
      </c>
      <c r="D287" t="s">
        <v>23</v>
      </c>
      <c r="E287" t="s">
        <v>28</v>
      </c>
      <c r="F287" t="s">
        <v>24</v>
      </c>
      <c r="G287" t="s">
        <v>53</v>
      </c>
      <c r="H287" s="5">
        <v>8</v>
      </c>
      <c r="I287" s="3">
        <v>29266</v>
      </c>
      <c r="J287" s="10">
        <v>0</v>
      </c>
      <c r="K287" s="2">
        <v>234128</v>
      </c>
      <c r="L287" s="2">
        <f>Raw_Sales_Data3[[#This Row],[Quantity]]*Raw_Sales_Data3[[#This Row],[Unit Price]]*(Raw_Sales_Data3[[#This Row],[Discount %]]/100)</f>
        <v>0</v>
      </c>
      <c r="M287" t="str">
        <f>IF(COUNTIF(Raw_Sales_Data3[Order ID],Raw_Sales_Data3[[#This Row],[Order ID]])&gt;1,"Duplicate Order ID","Unique Order ID")</f>
        <v>Unique Order ID</v>
      </c>
    </row>
    <row r="288" spans="1:13" x14ac:dyDescent="0.3">
      <c r="A288" t="s">
        <v>343</v>
      </c>
      <c r="B288" s="1">
        <v>46032</v>
      </c>
      <c r="C288" t="s">
        <v>12</v>
      </c>
      <c r="D288" t="s">
        <v>43</v>
      </c>
      <c r="E288" t="s">
        <v>18</v>
      </c>
      <c r="F288" t="s">
        <v>19</v>
      </c>
      <c r="G288" t="s">
        <v>59</v>
      </c>
      <c r="H288" s="5">
        <v>7</v>
      </c>
      <c r="I288" s="3">
        <v>59703</v>
      </c>
      <c r="J288" s="10">
        <v>0</v>
      </c>
      <c r="K288" s="2">
        <v>417921</v>
      </c>
      <c r="L288" s="2">
        <f>Raw_Sales_Data3[[#This Row],[Quantity]]*Raw_Sales_Data3[[#This Row],[Unit Price]]*(Raw_Sales_Data3[[#This Row],[Discount %]]/100)</f>
        <v>0</v>
      </c>
      <c r="M288" t="str">
        <f>IF(COUNTIF(Raw_Sales_Data3[Order ID],Raw_Sales_Data3[[#This Row],[Order ID]])&gt;1,"Duplicate Order ID","Unique Order ID")</f>
        <v>Unique Order ID</v>
      </c>
    </row>
    <row r="289" spans="1:13" x14ac:dyDescent="0.3">
      <c r="A289" t="s">
        <v>344</v>
      </c>
      <c r="B289" s="1">
        <v>46086</v>
      </c>
      <c r="C289" t="s">
        <v>123</v>
      </c>
      <c r="D289" t="s">
        <v>58</v>
      </c>
      <c r="E289" t="s">
        <v>34</v>
      </c>
      <c r="F289" t="s">
        <v>19</v>
      </c>
      <c r="G289" t="s">
        <v>20</v>
      </c>
      <c r="H289" s="5">
        <v>12</v>
      </c>
      <c r="I289" s="3">
        <v>19469</v>
      </c>
      <c r="J289" s="10">
        <v>5</v>
      </c>
      <c r="K289" s="2">
        <v>221946.6</v>
      </c>
      <c r="L289" s="2">
        <f>Raw_Sales_Data3[[#This Row],[Quantity]]*Raw_Sales_Data3[[#This Row],[Unit Price]]*(Raw_Sales_Data3[[#This Row],[Discount %]]/100)</f>
        <v>11681.400000000001</v>
      </c>
      <c r="M289" t="str">
        <f>IF(COUNTIF(Raw_Sales_Data3[Order ID],Raw_Sales_Data3[[#This Row],[Order ID]])&gt;1,"Duplicate Order ID","Unique Order ID")</f>
        <v>Unique Order ID</v>
      </c>
    </row>
    <row r="290" spans="1:13" x14ac:dyDescent="0.3">
      <c r="A290" t="s">
        <v>345</v>
      </c>
      <c r="B290" s="1">
        <v>46098</v>
      </c>
      <c r="C290" t="s">
        <v>33</v>
      </c>
      <c r="D290" t="s">
        <v>70</v>
      </c>
      <c r="E290" t="s">
        <v>34</v>
      </c>
      <c r="F290" t="s">
        <v>24</v>
      </c>
      <c r="G290" t="s">
        <v>77</v>
      </c>
      <c r="H290" s="5">
        <v>11</v>
      </c>
      <c r="I290" s="3">
        <v>21932</v>
      </c>
      <c r="J290" s="10">
        <v>15</v>
      </c>
      <c r="K290" s="2">
        <v>205064.2</v>
      </c>
      <c r="L290" s="2">
        <f>Raw_Sales_Data3[[#This Row],[Quantity]]*Raw_Sales_Data3[[#This Row],[Unit Price]]*(Raw_Sales_Data3[[#This Row],[Discount %]]/100)</f>
        <v>36187.799999999996</v>
      </c>
      <c r="M290" t="str">
        <f>IF(COUNTIF(Raw_Sales_Data3[Order ID],Raw_Sales_Data3[[#This Row],[Order ID]])&gt;1,"Duplicate Order ID","Unique Order ID")</f>
        <v>Unique Order ID</v>
      </c>
    </row>
    <row r="291" spans="1:13" x14ac:dyDescent="0.3">
      <c r="A291" t="s">
        <v>346</v>
      </c>
      <c r="B291" s="1">
        <v>46108</v>
      </c>
      <c r="C291" t="s">
        <v>36</v>
      </c>
      <c r="D291" t="s">
        <v>58</v>
      </c>
      <c r="E291" t="s">
        <v>18</v>
      </c>
      <c r="F291" t="s">
        <v>19</v>
      </c>
      <c r="G291" t="s">
        <v>1038</v>
      </c>
      <c r="H291" s="5">
        <v>10</v>
      </c>
      <c r="I291" s="3">
        <v>52414</v>
      </c>
      <c r="J291" s="10">
        <v>10</v>
      </c>
      <c r="K291" s="2">
        <v>471726</v>
      </c>
      <c r="L291" s="2">
        <f>Raw_Sales_Data3[[#This Row],[Quantity]]*Raw_Sales_Data3[[#This Row],[Unit Price]]*(Raw_Sales_Data3[[#This Row],[Discount %]]/100)</f>
        <v>52414</v>
      </c>
      <c r="M291" t="str">
        <f>IF(COUNTIF(Raw_Sales_Data3[Order ID],Raw_Sales_Data3[[#This Row],[Order ID]])&gt;1,"Duplicate Order ID","Unique Order ID")</f>
        <v>Unique Order ID</v>
      </c>
    </row>
    <row r="292" spans="1:13" x14ac:dyDescent="0.3">
      <c r="A292" t="s">
        <v>347</v>
      </c>
      <c r="B292" s="1">
        <v>46100</v>
      </c>
      <c r="C292" t="s">
        <v>22</v>
      </c>
      <c r="D292" t="s">
        <v>58</v>
      </c>
      <c r="E292" t="s">
        <v>18</v>
      </c>
      <c r="F292" t="s">
        <v>19</v>
      </c>
      <c r="G292" t="s">
        <v>31</v>
      </c>
      <c r="H292" s="5">
        <v>2</v>
      </c>
      <c r="I292" s="3">
        <v>21220</v>
      </c>
      <c r="J292" s="10">
        <v>0</v>
      </c>
      <c r="K292" s="2">
        <v>42440</v>
      </c>
      <c r="L292" s="2">
        <f>Raw_Sales_Data3[[#This Row],[Quantity]]*Raw_Sales_Data3[[#This Row],[Unit Price]]*(Raw_Sales_Data3[[#This Row],[Discount %]]/100)</f>
        <v>0</v>
      </c>
      <c r="M292" t="str">
        <f>IF(COUNTIF(Raw_Sales_Data3[Order ID],Raw_Sales_Data3[[#This Row],[Order ID]])&gt;1,"Duplicate Order ID","Unique Order ID")</f>
        <v>Unique Order ID</v>
      </c>
    </row>
    <row r="293" spans="1:13" x14ac:dyDescent="0.3">
      <c r="A293" t="s">
        <v>348</v>
      </c>
      <c r="B293" s="1">
        <v>46046</v>
      </c>
      <c r="C293" t="s">
        <v>48</v>
      </c>
      <c r="D293" t="s">
        <v>23</v>
      </c>
      <c r="E293" t="s">
        <v>34</v>
      </c>
      <c r="F293" t="s">
        <v>19</v>
      </c>
      <c r="G293" t="s">
        <v>1038</v>
      </c>
      <c r="H293" s="5">
        <f>K293/(I293*(1-J293/100))</f>
        <v>12</v>
      </c>
      <c r="I293" s="3">
        <v>57334</v>
      </c>
      <c r="J293" s="10">
        <v>20</v>
      </c>
      <c r="K293" s="2">
        <v>550406.40000000002</v>
      </c>
      <c r="L293" s="2">
        <f>Raw_Sales_Data3[[#This Row],[Quantity]]*Raw_Sales_Data3[[#This Row],[Unit Price]]*(Raw_Sales_Data3[[#This Row],[Discount %]]/100)</f>
        <v>137601.60000000001</v>
      </c>
      <c r="M293" t="str">
        <f>IF(COUNTIF(Raw_Sales_Data3[Order ID],Raw_Sales_Data3[[#This Row],[Order ID]])&gt;1,"Duplicate Order ID","Unique Order ID")</f>
        <v>Unique Order ID</v>
      </c>
    </row>
    <row r="294" spans="1:13" x14ac:dyDescent="0.3">
      <c r="A294" t="s">
        <v>349</v>
      </c>
      <c r="B294" s="1">
        <v>46062</v>
      </c>
      <c r="C294" t="s">
        <v>91</v>
      </c>
      <c r="D294" t="s">
        <v>70</v>
      </c>
      <c r="E294" t="s">
        <v>39</v>
      </c>
      <c r="F294" t="s">
        <v>14</v>
      </c>
      <c r="G294" t="s">
        <v>156</v>
      </c>
      <c r="H294" s="5">
        <v>7</v>
      </c>
      <c r="I294" s="3">
        <v>20311</v>
      </c>
      <c r="J294" s="10">
        <v>10</v>
      </c>
      <c r="K294" s="2">
        <v>127959.3</v>
      </c>
      <c r="L294" s="2">
        <f>Raw_Sales_Data3[[#This Row],[Quantity]]*Raw_Sales_Data3[[#This Row],[Unit Price]]*(Raw_Sales_Data3[[#This Row],[Discount %]]/100)</f>
        <v>14217.7</v>
      </c>
      <c r="M294" t="str">
        <f>IF(COUNTIF(Raw_Sales_Data3[Order ID],Raw_Sales_Data3[[#This Row],[Order ID]])&gt;1,"Duplicate Order ID","Unique Order ID")</f>
        <v>Unique Order ID</v>
      </c>
    </row>
    <row r="295" spans="1:13" x14ac:dyDescent="0.3">
      <c r="A295" t="s">
        <v>350</v>
      </c>
      <c r="B295" s="1">
        <v>46106</v>
      </c>
      <c r="C295" t="s">
        <v>89</v>
      </c>
      <c r="D295" t="s">
        <v>23</v>
      </c>
      <c r="E295" t="s">
        <v>34</v>
      </c>
      <c r="F295" t="s">
        <v>14</v>
      </c>
      <c r="G295" t="s">
        <v>51</v>
      </c>
      <c r="H295" s="5">
        <v>14</v>
      </c>
      <c r="I295" s="3">
        <v>15526</v>
      </c>
      <c r="J295" s="10">
        <v>0</v>
      </c>
      <c r="K295" s="2">
        <v>217364</v>
      </c>
      <c r="L295" s="2">
        <f>Raw_Sales_Data3[[#This Row],[Quantity]]*Raw_Sales_Data3[[#This Row],[Unit Price]]*(Raw_Sales_Data3[[#This Row],[Discount %]]/100)</f>
        <v>0</v>
      </c>
      <c r="M295" t="str">
        <f>IF(COUNTIF(Raw_Sales_Data3[Order ID],Raw_Sales_Data3[[#This Row],[Order ID]])&gt;1,"Duplicate Order ID","Unique Order ID")</f>
        <v>Unique Order ID</v>
      </c>
    </row>
    <row r="296" spans="1:13" x14ac:dyDescent="0.3">
      <c r="A296" t="s">
        <v>351</v>
      </c>
      <c r="B296" s="1">
        <v>46024</v>
      </c>
      <c r="C296" t="s">
        <v>64</v>
      </c>
      <c r="D296" t="s">
        <v>23</v>
      </c>
      <c r="E296" t="s">
        <v>34</v>
      </c>
      <c r="F296" t="s">
        <v>24</v>
      </c>
      <c r="G296" t="s">
        <v>71</v>
      </c>
      <c r="H296" s="5">
        <v>6</v>
      </c>
      <c r="I296" s="3">
        <v>51314</v>
      </c>
      <c r="J296" s="10">
        <v>0</v>
      </c>
      <c r="K296" s="2">
        <v>307884</v>
      </c>
      <c r="L296" s="2">
        <f>Raw_Sales_Data3[[#This Row],[Quantity]]*Raw_Sales_Data3[[#This Row],[Unit Price]]*(Raw_Sales_Data3[[#This Row],[Discount %]]/100)</f>
        <v>0</v>
      </c>
      <c r="M296" t="str">
        <f>IF(COUNTIF(Raw_Sales_Data3[Order ID],Raw_Sales_Data3[[#This Row],[Order ID]])&gt;1,"Duplicate Order ID","Unique Order ID")</f>
        <v>Unique Order ID</v>
      </c>
    </row>
    <row r="297" spans="1:13" x14ac:dyDescent="0.3">
      <c r="A297" t="s">
        <v>352</v>
      </c>
      <c r="B297" s="1">
        <v>46081</v>
      </c>
      <c r="C297" t="s">
        <v>57</v>
      </c>
      <c r="D297" t="s">
        <v>70</v>
      </c>
      <c r="E297" t="s">
        <v>13</v>
      </c>
      <c r="F297" t="s">
        <v>19</v>
      </c>
      <c r="G297" t="s">
        <v>31</v>
      </c>
      <c r="H297" s="5">
        <v>10</v>
      </c>
      <c r="I297" s="3">
        <v>14832</v>
      </c>
      <c r="J297" s="10">
        <v>15</v>
      </c>
      <c r="K297" s="2">
        <v>126072</v>
      </c>
      <c r="L297" s="2">
        <f>Raw_Sales_Data3[[#This Row],[Quantity]]*Raw_Sales_Data3[[#This Row],[Unit Price]]*(Raw_Sales_Data3[[#This Row],[Discount %]]/100)</f>
        <v>22248</v>
      </c>
      <c r="M297" t="str">
        <f>IF(COUNTIF(Raw_Sales_Data3[Order ID],Raw_Sales_Data3[[#This Row],[Order ID]])&gt;1,"Duplicate Order ID","Unique Order ID")</f>
        <v>Unique Order ID</v>
      </c>
    </row>
    <row r="298" spans="1:13" x14ac:dyDescent="0.3">
      <c r="A298" t="s">
        <v>353</v>
      </c>
      <c r="B298" s="1">
        <v>46093</v>
      </c>
      <c r="C298" t="s">
        <v>22</v>
      </c>
      <c r="D298" t="s">
        <v>58</v>
      </c>
      <c r="E298" t="s">
        <v>39</v>
      </c>
      <c r="F298" t="s">
        <v>24</v>
      </c>
      <c r="G298" t="s">
        <v>25</v>
      </c>
      <c r="H298" s="5">
        <v>11</v>
      </c>
      <c r="I298" s="3">
        <f>K298/H298</f>
        <v>10257.15</v>
      </c>
      <c r="J298" s="10">
        <v>0</v>
      </c>
      <c r="K298" s="2">
        <v>112828.65</v>
      </c>
      <c r="L298" s="2">
        <f>Raw_Sales_Data3[[#This Row],[Quantity]]*Raw_Sales_Data3[[#This Row],[Unit Price]]*(Raw_Sales_Data3[[#This Row],[Discount %]]/100)</f>
        <v>0</v>
      </c>
      <c r="M298" t="str">
        <f>IF(COUNTIF(Raw_Sales_Data3[Order ID],Raw_Sales_Data3[[#This Row],[Order ID]])&gt;1,"Duplicate Order ID","Unique Order ID")</f>
        <v>Unique Order ID</v>
      </c>
    </row>
    <row r="299" spans="1:13" x14ac:dyDescent="0.3">
      <c r="A299" t="s">
        <v>354</v>
      </c>
      <c r="B299" s="1">
        <v>46039</v>
      </c>
      <c r="C299" t="s">
        <v>12</v>
      </c>
      <c r="D299" t="s">
        <v>43</v>
      </c>
      <c r="E299" t="s">
        <v>28</v>
      </c>
      <c r="F299" t="s">
        <v>19</v>
      </c>
      <c r="G299" t="s">
        <v>31</v>
      </c>
      <c r="H299" s="5">
        <v>12</v>
      </c>
      <c r="I299" s="3">
        <v>27124</v>
      </c>
      <c r="J299" s="10">
        <v>10</v>
      </c>
      <c r="K299" s="2">
        <v>292939.2</v>
      </c>
      <c r="L299" s="2">
        <f>Raw_Sales_Data3[[#This Row],[Quantity]]*Raw_Sales_Data3[[#This Row],[Unit Price]]*(Raw_Sales_Data3[[#This Row],[Discount %]]/100)</f>
        <v>32548.800000000003</v>
      </c>
      <c r="M299" t="str">
        <f>IF(COUNTIF(Raw_Sales_Data3[Order ID],Raw_Sales_Data3[[#This Row],[Order ID]])&gt;1,"Duplicate Order ID","Unique Order ID")</f>
        <v>Unique Order ID</v>
      </c>
    </row>
    <row r="300" spans="1:13" x14ac:dyDescent="0.3">
      <c r="A300" t="s">
        <v>355</v>
      </c>
      <c r="B300" s="1">
        <v>46030</v>
      </c>
      <c r="C300" t="s">
        <v>33</v>
      </c>
      <c r="D300" t="s">
        <v>58</v>
      </c>
      <c r="E300" t="s">
        <v>18</v>
      </c>
      <c r="F300" t="s">
        <v>14</v>
      </c>
      <c r="G300" t="s">
        <v>103</v>
      </c>
      <c r="H300" s="5">
        <f>K300/(I300*(1-J300/100))</f>
        <v>8</v>
      </c>
      <c r="I300" s="3">
        <v>35335</v>
      </c>
      <c r="J300" s="10">
        <v>10</v>
      </c>
      <c r="K300" s="2">
        <v>254412</v>
      </c>
      <c r="L300" s="2">
        <f>Raw_Sales_Data3[[#This Row],[Quantity]]*Raw_Sales_Data3[[#This Row],[Unit Price]]*(Raw_Sales_Data3[[#This Row],[Discount %]]/100)</f>
        <v>28268</v>
      </c>
      <c r="M300" t="str">
        <f>IF(COUNTIF(Raw_Sales_Data3[Order ID],Raw_Sales_Data3[[#This Row],[Order ID]])&gt;1,"Duplicate Order ID","Unique Order ID")</f>
        <v>Unique Order ID</v>
      </c>
    </row>
    <row r="301" spans="1:13" x14ac:dyDescent="0.3">
      <c r="A301" t="s">
        <v>356</v>
      </c>
      <c r="B301" s="1">
        <v>46110</v>
      </c>
      <c r="C301" t="s">
        <v>33</v>
      </c>
      <c r="D301" t="s">
        <v>23</v>
      </c>
      <c r="E301" t="s">
        <v>28</v>
      </c>
      <c r="F301" t="s">
        <v>14</v>
      </c>
      <c r="G301" t="s">
        <v>156</v>
      </c>
      <c r="H301" s="5">
        <v>15</v>
      </c>
      <c r="I301" s="3">
        <v>1670</v>
      </c>
      <c r="J301" s="10">
        <v>0</v>
      </c>
      <c r="K301" s="2">
        <v>25050</v>
      </c>
      <c r="L301" s="2">
        <f>Raw_Sales_Data3[[#This Row],[Quantity]]*Raw_Sales_Data3[[#This Row],[Unit Price]]*(Raw_Sales_Data3[[#This Row],[Discount %]]/100)</f>
        <v>0</v>
      </c>
      <c r="M301" t="str">
        <f>IF(COUNTIF(Raw_Sales_Data3[Order ID],Raw_Sales_Data3[[#This Row],[Order ID]])&gt;1,"Duplicate Order ID","Unique Order ID")</f>
        <v>Unique Order ID</v>
      </c>
    </row>
    <row r="302" spans="1:13" x14ac:dyDescent="0.3">
      <c r="A302" t="s">
        <v>357</v>
      </c>
      <c r="B302" s="1">
        <v>46048</v>
      </c>
      <c r="C302" t="s">
        <v>64</v>
      </c>
      <c r="D302" t="s">
        <v>58</v>
      </c>
      <c r="E302" t="s">
        <v>34</v>
      </c>
      <c r="F302" t="s">
        <v>19</v>
      </c>
      <c r="G302" t="s">
        <v>79</v>
      </c>
      <c r="H302" s="5">
        <v>11</v>
      </c>
      <c r="I302" s="3">
        <v>57685</v>
      </c>
      <c r="J302" s="10">
        <v>15</v>
      </c>
      <c r="K302" s="2">
        <v>539354.75</v>
      </c>
      <c r="L302" s="2">
        <f>Raw_Sales_Data3[[#This Row],[Quantity]]*Raw_Sales_Data3[[#This Row],[Unit Price]]*(Raw_Sales_Data3[[#This Row],[Discount %]]/100)</f>
        <v>95180.25</v>
      </c>
      <c r="M302" t="str">
        <f>IF(COUNTIF(Raw_Sales_Data3[Order ID],Raw_Sales_Data3[[#This Row],[Order ID]])&gt;1,"Duplicate Order ID","Unique Order ID")</f>
        <v>Unique Order ID</v>
      </c>
    </row>
    <row r="303" spans="1:13" x14ac:dyDescent="0.3">
      <c r="A303" t="s">
        <v>358</v>
      </c>
      <c r="B303" s="1">
        <v>46066</v>
      </c>
      <c r="C303" t="s">
        <v>86</v>
      </c>
      <c r="D303" t="s">
        <v>23</v>
      </c>
      <c r="E303" t="s">
        <v>13</v>
      </c>
      <c r="F303" t="s">
        <v>14</v>
      </c>
      <c r="G303" t="s">
        <v>15</v>
      </c>
      <c r="H303" s="5">
        <v>10</v>
      </c>
      <c r="I303" s="3">
        <v>13260</v>
      </c>
      <c r="J303" s="10">
        <v>0</v>
      </c>
      <c r="K303" s="2">
        <v>132600</v>
      </c>
      <c r="L303" s="2">
        <f>Raw_Sales_Data3[[#This Row],[Quantity]]*Raw_Sales_Data3[[#This Row],[Unit Price]]*(Raw_Sales_Data3[[#This Row],[Discount %]]/100)</f>
        <v>0</v>
      </c>
      <c r="M303" t="str">
        <f>IF(COUNTIF(Raw_Sales_Data3[Order ID],Raw_Sales_Data3[[#This Row],[Order ID]])&gt;1,"Duplicate Order ID","Unique Order ID")</f>
        <v>Duplicate Order ID</v>
      </c>
    </row>
    <row r="304" spans="1:13" x14ac:dyDescent="0.3">
      <c r="A304" t="s">
        <v>358</v>
      </c>
      <c r="B304" s="1">
        <v>46093</v>
      </c>
      <c r="C304" t="s">
        <v>12</v>
      </c>
      <c r="D304" t="s">
        <v>58</v>
      </c>
      <c r="E304" t="s">
        <v>34</v>
      </c>
      <c r="F304" t="s">
        <v>14</v>
      </c>
      <c r="G304" t="s">
        <v>98</v>
      </c>
      <c r="H304" s="5">
        <v>4</v>
      </c>
      <c r="I304" s="3">
        <v>30719</v>
      </c>
      <c r="J304" s="10">
        <v>20</v>
      </c>
      <c r="K304" s="2">
        <v>98300.800000000003</v>
      </c>
      <c r="L304" s="2">
        <f>Raw_Sales_Data3[[#This Row],[Quantity]]*Raw_Sales_Data3[[#This Row],[Unit Price]]*(Raw_Sales_Data3[[#This Row],[Discount %]]/100)</f>
        <v>24575.200000000001</v>
      </c>
      <c r="M304" t="str">
        <f>IF(COUNTIF(Raw_Sales_Data3[Order ID],Raw_Sales_Data3[[#This Row],[Order ID]])&gt;1,"Duplicate Order ID","Unique Order ID")</f>
        <v>Duplicate Order ID</v>
      </c>
    </row>
    <row r="305" spans="1:13" x14ac:dyDescent="0.3">
      <c r="A305" t="s">
        <v>359</v>
      </c>
      <c r="B305" s="1">
        <v>46090</v>
      </c>
      <c r="C305" t="s">
        <v>54</v>
      </c>
      <c r="D305" t="s">
        <v>23</v>
      </c>
      <c r="E305" t="s">
        <v>39</v>
      </c>
      <c r="F305" t="s">
        <v>19</v>
      </c>
      <c r="G305" t="s">
        <v>79</v>
      </c>
      <c r="H305" s="5">
        <v>1</v>
      </c>
      <c r="I305" s="3">
        <v>53415</v>
      </c>
      <c r="J305" s="10">
        <v>10</v>
      </c>
      <c r="K305" s="2">
        <v>48073.5</v>
      </c>
      <c r="L305" s="2">
        <f>Raw_Sales_Data3[[#This Row],[Quantity]]*Raw_Sales_Data3[[#This Row],[Unit Price]]*(Raw_Sales_Data3[[#This Row],[Discount %]]/100)</f>
        <v>5341.5</v>
      </c>
      <c r="M305" t="str">
        <f>IF(COUNTIF(Raw_Sales_Data3[Order ID],Raw_Sales_Data3[[#This Row],[Order ID]])&gt;1,"Duplicate Order ID","Unique Order ID")</f>
        <v>Unique Order ID</v>
      </c>
    </row>
    <row r="306" spans="1:13" x14ac:dyDescent="0.3">
      <c r="A306" t="s">
        <v>360</v>
      </c>
      <c r="B306" s="1">
        <v>46028</v>
      </c>
      <c r="C306" t="s">
        <v>36</v>
      </c>
      <c r="D306" t="s">
        <v>70</v>
      </c>
      <c r="E306" t="s">
        <v>18</v>
      </c>
      <c r="F306" t="s">
        <v>14</v>
      </c>
      <c r="G306" t="s">
        <v>73</v>
      </c>
      <c r="H306" s="5">
        <v>12</v>
      </c>
      <c r="I306" s="3">
        <v>23013</v>
      </c>
      <c r="J306" s="10">
        <v>20</v>
      </c>
      <c r="K306" s="2">
        <v>220924.79999999999</v>
      </c>
      <c r="L306" s="2">
        <f>Raw_Sales_Data3[[#This Row],[Quantity]]*Raw_Sales_Data3[[#This Row],[Unit Price]]*(Raw_Sales_Data3[[#This Row],[Discount %]]/100)</f>
        <v>55231.200000000004</v>
      </c>
      <c r="M306" t="str">
        <f>IF(COUNTIF(Raw_Sales_Data3[Order ID],Raw_Sales_Data3[[#This Row],[Order ID]])&gt;1,"Duplicate Order ID","Unique Order ID")</f>
        <v>Unique Order ID</v>
      </c>
    </row>
    <row r="307" spans="1:13" x14ac:dyDescent="0.3">
      <c r="A307" t="s">
        <v>361</v>
      </c>
      <c r="B307" s="1">
        <v>46043</v>
      </c>
      <c r="C307" t="s">
        <v>45</v>
      </c>
      <c r="D307" t="s">
        <v>43</v>
      </c>
      <c r="E307" t="s">
        <v>39</v>
      </c>
      <c r="F307" t="s">
        <v>14</v>
      </c>
      <c r="G307" t="s">
        <v>15</v>
      </c>
      <c r="H307" s="5">
        <v>8</v>
      </c>
      <c r="I307" s="3">
        <v>38836</v>
      </c>
      <c r="J307" s="10">
        <v>15</v>
      </c>
      <c r="K307" s="2">
        <v>264084.8</v>
      </c>
      <c r="L307" s="2">
        <f>Raw_Sales_Data3[[#This Row],[Quantity]]*Raw_Sales_Data3[[#This Row],[Unit Price]]*(Raw_Sales_Data3[[#This Row],[Discount %]]/100)</f>
        <v>46603.199999999997</v>
      </c>
      <c r="M307" t="str">
        <f>IF(COUNTIF(Raw_Sales_Data3[Order ID],Raw_Sales_Data3[[#This Row],[Order ID]])&gt;1,"Duplicate Order ID","Unique Order ID")</f>
        <v>Unique Order ID</v>
      </c>
    </row>
    <row r="308" spans="1:13" x14ac:dyDescent="0.3">
      <c r="A308" t="s">
        <v>362</v>
      </c>
      <c r="B308" s="1">
        <v>46082</v>
      </c>
      <c r="C308" t="s">
        <v>17</v>
      </c>
      <c r="D308" t="s">
        <v>58</v>
      </c>
      <c r="E308" t="s">
        <v>39</v>
      </c>
      <c r="F308" t="s">
        <v>14</v>
      </c>
      <c r="G308" t="s">
        <v>98</v>
      </c>
      <c r="H308" s="5">
        <f>K308/(I308*(1-J308/100))</f>
        <v>14.999999999999998</v>
      </c>
      <c r="I308" s="3">
        <v>21692</v>
      </c>
      <c r="J308" s="10">
        <v>20</v>
      </c>
      <c r="K308" s="2">
        <v>260304</v>
      </c>
      <c r="L308" s="2">
        <f>Raw_Sales_Data3[[#This Row],[Quantity]]*Raw_Sales_Data3[[#This Row],[Unit Price]]*(Raw_Sales_Data3[[#This Row],[Discount %]]/100)</f>
        <v>65075.999999999993</v>
      </c>
      <c r="M308" t="str">
        <f>IF(COUNTIF(Raw_Sales_Data3[Order ID],Raw_Sales_Data3[[#This Row],[Order ID]])&gt;1,"Duplicate Order ID","Unique Order ID")</f>
        <v>Unique Order ID</v>
      </c>
    </row>
    <row r="309" spans="1:13" x14ac:dyDescent="0.3">
      <c r="A309" t="s">
        <v>363</v>
      </c>
      <c r="B309" s="1">
        <v>46050</v>
      </c>
      <c r="C309" t="s">
        <v>57</v>
      </c>
      <c r="D309" t="s">
        <v>23</v>
      </c>
      <c r="E309" t="s">
        <v>28</v>
      </c>
      <c r="F309" t="s">
        <v>24</v>
      </c>
      <c r="G309" t="s">
        <v>29</v>
      </c>
      <c r="H309" s="5">
        <v>9</v>
      </c>
      <c r="I309" s="3">
        <v>16795</v>
      </c>
      <c r="J309" s="10">
        <v>20</v>
      </c>
      <c r="K309" s="2">
        <v>120924</v>
      </c>
      <c r="L309" s="2">
        <f>Raw_Sales_Data3[[#This Row],[Quantity]]*Raw_Sales_Data3[[#This Row],[Unit Price]]*(Raw_Sales_Data3[[#This Row],[Discount %]]/100)</f>
        <v>30231</v>
      </c>
      <c r="M309" t="str">
        <f>IF(COUNTIF(Raw_Sales_Data3[Order ID],Raw_Sales_Data3[[#This Row],[Order ID]])&gt;1,"Duplicate Order ID","Unique Order ID")</f>
        <v>Unique Order ID</v>
      </c>
    </row>
    <row r="310" spans="1:13" x14ac:dyDescent="0.3">
      <c r="A310" t="s">
        <v>364</v>
      </c>
      <c r="B310" s="1">
        <v>46082</v>
      </c>
      <c r="C310" t="s">
        <v>36</v>
      </c>
      <c r="D310" t="s">
        <v>23</v>
      </c>
      <c r="E310" t="s">
        <v>34</v>
      </c>
      <c r="F310" t="s">
        <v>24</v>
      </c>
      <c r="G310" t="s">
        <v>29</v>
      </c>
      <c r="H310" s="5">
        <v>8</v>
      </c>
      <c r="I310" s="3">
        <v>55042</v>
      </c>
      <c r="J310" s="10">
        <v>0</v>
      </c>
      <c r="K310" s="2">
        <v>440336</v>
      </c>
      <c r="L310" s="2">
        <f>Raw_Sales_Data3[[#This Row],[Quantity]]*Raw_Sales_Data3[[#This Row],[Unit Price]]*(Raw_Sales_Data3[[#This Row],[Discount %]]/100)</f>
        <v>0</v>
      </c>
      <c r="M310" t="str">
        <f>IF(COUNTIF(Raw_Sales_Data3[Order ID],Raw_Sales_Data3[[#This Row],[Order ID]])&gt;1,"Duplicate Order ID","Unique Order ID")</f>
        <v>Unique Order ID</v>
      </c>
    </row>
    <row r="311" spans="1:13" x14ac:dyDescent="0.3">
      <c r="A311" t="s">
        <v>365</v>
      </c>
      <c r="B311" s="1">
        <v>46091</v>
      </c>
      <c r="C311" t="s">
        <v>36</v>
      </c>
      <c r="D311" t="s">
        <v>43</v>
      </c>
      <c r="E311" t="s">
        <v>28</v>
      </c>
      <c r="F311" t="s">
        <v>19</v>
      </c>
      <c r="G311" t="s">
        <v>147</v>
      </c>
      <c r="H311" s="5">
        <v>4</v>
      </c>
      <c r="I311" s="3">
        <v>56959</v>
      </c>
      <c r="J311" s="10">
        <v>5</v>
      </c>
      <c r="K311" s="2">
        <v>216444.2</v>
      </c>
      <c r="L311" s="2">
        <f>Raw_Sales_Data3[[#This Row],[Quantity]]*Raw_Sales_Data3[[#This Row],[Unit Price]]*(Raw_Sales_Data3[[#This Row],[Discount %]]/100)</f>
        <v>11391.800000000001</v>
      </c>
      <c r="M311" t="str">
        <f>IF(COUNTIF(Raw_Sales_Data3[Order ID],Raw_Sales_Data3[[#This Row],[Order ID]])&gt;1,"Duplicate Order ID","Unique Order ID")</f>
        <v>Unique Order ID</v>
      </c>
    </row>
    <row r="312" spans="1:13" x14ac:dyDescent="0.3">
      <c r="A312" t="s">
        <v>366</v>
      </c>
      <c r="B312" s="1">
        <v>46050</v>
      </c>
      <c r="C312" t="s">
        <v>22</v>
      </c>
      <c r="D312" t="s">
        <v>70</v>
      </c>
      <c r="E312" t="s">
        <v>18</v>
      </c>
      <c r="F312" t="s">
        <v>14</v>
      </c>
      <c r="G312" t="s">
        <v>120</v>
      </c>
      <c r="H312" s="5">
        <v>5</v>
      </c>
      <c r="I312" s="3">
        <v>38326</v>
      </c>
      <c r="J312" s="10">
        <v>15</v>
      </c>
      <c r="K312" s="2">
        <v>162885.5</v>
      </c>
      <c r="L312" s="2">
        <f>Raw_Sales_Data3[[#This Row],[Quantity]]*Raw_Sales_Data3[[#This Row],[Unit Price]]*(Raw_Sales_Data3[[#This Row],[Discount %]]/100)</f>
        <v>28744.5</v>
      </c>
      <c r="M312" t="str">
        <f>IF(COUNTIF(Raw_Sales_Data3[Order ID],Raw_Sales_Data3[[#This Row],[Order ID]])&gt;1,"Duplicate Order ID","Unique Order ID")</f>
        <v>Unique Order ID</v>
      </c>
    </row>
    <row r="313" spans="1:13" x14ac:dyDescent="0.3">
      <c r="A313" t="s">
        <v>367</v>
      </c>
      <c r="B313" s="1">
        <v>46108</v>
      </c>
      <c r="C313" t="s">
        <v>42</v>
      </c>
      <c r="D313" t="s">
        <v>23</v>
      </c>
      <c r="E313" t="s">
        <v>39</v>
      </c>
      <c r="F313" t="s">
        <v>19</v>
      </c>
      <c r="G313" t="s">
        <v>79</v>
      </c>
      <c r="H313" s="5">
        <v>8</v>
      </c>
      <c r="I313" s="3">
        <v>45434</v>
      </c>
      <c r="J313" s="10">
        <v>15</v>
      </c>
      <c r="K313" s="2">
        <v>308951.2</v>
      </c>
      <c r="L313" s="2">
        <f>Raw_Sales_Data3[[#This Row],[Quantity]]*Raw_Sales_Data3[[#This Row],[Unit Price]]*(Raw_Sales_Data3[[#This Row],[Discount %]]/100)</f>
        <v>54520.799999999996</v>
      </c>
      <c r="M313" t="str">
        <f>IF(COUNTIF(Raw_Sales_Data3[Order ID],Raw_Sales_Data3[[#This Row],[Order ID]])&gt;1,"Duplicate Order ID","Unique Order ID")</f>
        <v>Unique Order ID</v>
      </c>
    </row>
    <row r="314" spans="1:13" x14ac:dyDescent="0.3">
      <c r="A314" t="s">
        <v>368</v>
      </c>
      <c r="B314" s="1">
        <v>46030</v>
      </c>
      <c r="C314" t="s">
        <v>27</v>
      </c>
      <c r="D314" t="s">
        <v>43</v>
      </c>
      <c r="E314" t="s">
        <v>39</v>
      </c>
      <c r="F314" t="s">
        <v>19</v>
      </c>
      <c r="G314" t="s">
        <v>147</v>
      </c>
      <c r="H314" s="5">
        <v>15</v>
      </c>
      <c r="I314" s="3">
        <v>38487</v>
      </c>
      <c r="J314" s="10">
        <v>5</v>
      </c>
      <c r="K314" s="2">
        <v>548439.75</v>
      </c>
      <c r="L314" s="2">
        <f>Raw_Sales_Data3[[#This Row],[Quantity]]*Raw_Sales_Data3[[#This Row],[Unit Price]]*(Raw_Sales_Data3[[#This Row],[Discount %]]/100)</f>
        <v>28865.25</v>
      </c>
      <c r="M314" t="str">
        <f>IF(COUNTIF(Raw_Sales_Data3[Order ID],Raw_Sales_Data3[[#This Row],[Order ID]])&gt;1,"Duplicate Order ID","Unique Order ID")</f>
        <v>Unique Order ID</v>
      </c>
    </row>
    <row r="315" spans="1:13" x14ac:dyDescent="0.3">
      <c r="A315" t="s">
        <v>369</v>
      </c>
      <c r="B315" s="1">
        <v>46080</v>
      </c>
      <c r="C315" t="s">
        <v>91</v>
      </c>
      <c r="D315" t="s">
        <v>23</v>
      </c>
      <c r="E315" t="s">
        <v>18</v>
      </c>
      <c r="F315" t="s">
        <v>19</v>
      </c>
      <c r="G315" t="s">
        <v>15</v>
      </c>
      <c r="H315" s="5">
        <v>13</v>
      </c>
      <c r="I315" s="3">
        <v>56077</v>
      </c>
      <c r="J315" s="10">
        <v>20</v>
      </c>
      <c r="K315" s="2">
        <v>583200.80000000005</v>
      </c>
      <c r="L315" s="2">
        <f>Raw_Sales_Data3[[#This Row],[Quantity]]*Raw_Sales_Data3[[#This Row],[Unit Price]]*(Raw_Sales_Data3[[#This Row],[Discount %]]/100)</f>
        <v>145800.20000000001</v>
      </c>
      <c r="M315" t="str">
        <f>IF(COUNTIF(Raw_Sales_Data3[Order ID],Raw_Sales_Data3[[#This Row],[Order ID]])&gt;1,"Duplicate Order ID","Unique Order ID")</f>
        <v>Unique Order ID</v>
      </c>
    </row>
    <row r="316" spans="1:13" x14ac:dyDescent="0.3">
      <c r="A316" t="s">
        <v>370</v>
      </c>
      <c r="B316" s="1">
        <v>46108</v>
      </c>
      <c r="C316" t="s">
        <v>38</v>
      </c>
      <c r="D316" t="s">
        <v>70</v>
      </c>
      <c r="E316" t="s">
        <v>18</v>
      </c>
      <c r="F316" t="s">
        <v>19</v>
      </c>
      <c r="G316" t="s">
        <v>147</v>
      </c>
      <c r="H316" s="5">
        <v>4</v>
      </c>
      <c r="I316" s="3">
        <v>53312</v>
      </c>
      <c r="J316" s="10">
        <v>10</v>
      </c>
      <c r="K316" s="2">
        <v>191923.20000000001</v>
      </c>
      <c r="L316" s="2">
        <f>Raw_Sales_Data3[[#This Row],[Quantity]]*Raw_Sales_Data3[[#This Row],[Unit Price]]*(Raw_Sales_Data3[[#This Row],[Discount %]]/100)</f>
        <v>21324.800000000003</v>
      </c>
      <c r="M316" t="str">
        <f>IF(COUNTIF(Raw_Sales_Data3[Order ID],Raw_Sales_Data3[[#This Row],[Order ID]])&gt;1,"Duplicate Order ID","Unique Order ID")</f>
        <v>Unique Order ID</v>
      </c>
    </row>
    <row r="317" spans="1:13" x14ac:dyDescent="0.3">
      <c r="A317" t="s">
        <v>371</v>
      </c>
      <c r="B317" s="1">
        <v>46025</v>
      </c>
      <c r="C317" t="s">
        <v>33</v>
      </c>
      <c r="D317" t="s">
        <v>43</v>
      </c>
      <c r="E317" t="s">
        <v>34</v>
      </c>
      <c r="F317" t="s">
        <v>24</v>
      </c>
      <c r="G317" t="s">
        <v>53</v>
      </c>
      <c r="H317" s="5">
        <v>10</v>
      </c>
      <c r="I317" s="3">
        <v>27601</v>
      </c>
      <c r="J317" s="10">
        <v>15</v>
      </c>
      <c r="K317" s="2">
        <v>234608.5</v>
      </c>
      <c r="L317" s="2">
        <f>Raw_Sales_Data3[[#This Row],[Quantity]]*Raw_Sales_Data3[[#This Row],[Unit Price]]*(Raw_Sales_Data3[[#This Row],[Discount %]]/100)</f>
        <v>41401.5</v>
      </c>
      <c r="M317" t="str">
        <f>IF(COUNTIF(Raw_Sales_Data3[Order ID],Raw_Sales_Data3[[#This Row],[Order ID]])&gt;1,"Duplicate Order ID","Unique Order ID")</f>
        <v>Unique Order ID</v>
      </c>
    </row>
    <row r="318" spans="1:13" x14ac:dyDescent="0.3">
      <c r="A318" t="s">
        <v>372</v>
      </c>
      <c r="B318" s="1">
        <v>46036</v>
      </c>
      <c r="C318" t="s">
        <v>42</v>
      </c>
      <c r="D318" t="s">
        <v>70</v>
      </c>
      <c r="E318" t="s">
        <v>28</v>
      </c>
      <c r="F318" t="s">
        <v>14</v>
      </c>
      <c r="G318" t="s">
        <v>15</v>
      </c>
      <c r="H318" s="5">
        <v>11</v>
      </c>
      <c r="I318" s="3">
        <v>29538</v>
      </c>
      <c r="J318" s="10">
        <v>0</v>
      </c>
      <c r="K318" s="2">
        <v>324918</v>
      </c>
      <c r="L318" s="2">
        <f>Raw_Sales_Data3[[#This Row],[Quantity]]*Raw_Sales_Data3[[#This Row],[Unit Price]]*(Raw_Sales_Data3[[#This Row],[Discount %]]/100)</f>
        <v>0</v>
      </c>
      <c r="M318" t="str">
        <f>IF(COUNTIF(Raw_Sales_Data3[Order ID],Raw_Sales_Data3[[#This Row],[Order ID]])&gt;1,"Duplicate Order ID","Unique Order ID")</f>
        <v>Unique Order ID</v>
      </c>
    </row>
    <row r="319" spans="1:13" x14ac:dyDescent="0.3">
      <c r="A319" t="s">
        <v>373</v>
      </c>
      <c r="B319" s="1">
        <v>46074</v>
      </c>
      <c r="C319" t="s">
        <v>42</v>
      </c>
      <c r="D319" t="s">
        <v>43</v>
      </c>
      <c r="E319" t="s">
        <v>34</v>
      </c>
      <c r="F319" t="s">
        <v>24</v>
      </c>
      <c r="G319" t="s">
        <v>71</v>
      </c>
      <c r="H319" s="5">
        <v>12</v>
      </c>
      <c r="I319" s="3">
        <v>17874</v>
      </c>
      <c r="J319" s="10">
        <v>20</v>
      </c>
      <c r="K319" s="2">
        <v>171590.39999999999</v>
      </c>
      <c r="L319" s="2">
        <f>Raw_Sales_Data3[[#This Row],[Quantity]]*Raw_Sales_Data3[[#This Row],[Unit Price]]*(Raw_Sales_Data3[[#This Row],[Discount %]]/100)</f>
        <v>42897.600000000006</v>
      </c>
      <c r="M319" t="str">
        <f>IF(COUNTIF(Raw_Sales_Data3[Order ID],Raw_Sales_Data3[[#This Row],[Order ID]])&gt;1,"Duplicate Order ID","Unique Order ID")</f>
        <v>Unique Order ID</v>
      </c>
    </row>
    <row r="320" spans="1:13" x14ac:dyDescent="0.3">
      <c r="A320" t="s">
        <v>374</v>
      </c>
      <c r="B320" s="1">
        <v>46075</v>
      </c>
      <c r="C320" t="s">
        <v>57</v>
      </c>
      <c r="D320" t="s">
        <v>23</v>
      </c>
      <c r="E320" t="s">
        <v>39</v>
      </c>
      <c r="F320" t="s">
        <v>19</v>
      </c>
      <c r="G320" t="s">
        <v>117</v>
      </c>
      <c r="H320" s="5">
        <f>K320/(I320*(1-J320/100))</f>
        <v>14</v>
      </c>
      <c r="I320" s="3">
        <v>36415</v>
      </c>
      <c r="J320" s="10">
        <v>15</v>
      </c>
      <c r="K320" s="2">
        <v>433338.5</v>
      </c>
      <c r="L320" s="2">
        <f>Raw_Sales_Data3[[#This Row],[Quantity]]*Raw_Sales_Data3[[#This Row],[Unit Price]]*(Raw_Sales_Data3[[#This Row],[Discount %]]/100)</f>
        <v>76471.5</v>
      </c>
      <c r="M320" t="str">
        <f>IF(COUNTIF(Raw_Sales_Data3[Order ID],Raw_Sales_Data3[[#This Row],[Order ID]])&gt;1,"Duplicate Order ID","Unique Order ID")</f>
        <v>Unique Order ID</v>
      </c>
    </row>
    <row r="321" spans="1:13" x14ac:dyDescent="0.3">
      <c r="A321" t="s">
        <v>375</v>
      </c>
      <c r="B321" s="1">
        <v>46048</v>
      </c>
      <c r="C321" t="s">
        <v>48</v>
      </c>
      <c r="D321" t="s">
        <v>70</v>
      </c>
      <c r="E321" t="s">
        <v>28</v>
      </c>
      <c r="F321" t="s">
        <v>24</v>
      </c>
      <c r="G321" t="s">
        <v>71</v>
      </c>
      <c r="H321" s="5">
        <v>15</v>
      </c>
      <c r="I321" s="3">
        <v>8718</v>
      </c>
      <c r="J321" s="10">
        <v>15</v>
      </c>
      <c r="K321" s="2">
        <v>111154.5</v>
      </c>
      <c r="L321" s="2">
        <f>Raw_Sales_Data3[[#This Row],[Quantity]]*Raw_Sales_Data3[[#This Row],[Unit Price]]*(Raw_Sales_Data3[[#This Row],[Discount %]]/100)</f>
        <v>19615.5</v>
      </c>
      <c r="M321" t="str">
        <f>IF(COUNTIF(Raw_Sales_Data3[Order ID],Raw_Sales_Data3[[#This Row],[Order ID]])&gt;1,"Duplicate Order ID","Unique Order ID")</f>
        <v>Unique Order ID</v>
      </c>
    </row>
    <row r="322" spans="1:13" x14ac:dyDescent="0.3">
      <c r="A322" t="s">
        <v>376</v>
      </c>
      <c r="B322" s="1">
        <v>46059</v>
      </c>
      <c r="C322" t="s">
        <v>36</v>
      </c>
      <c r="D322" t="s">
        <v>70</v>
      </c>
      <c r="E322" t="s">
        <v>13</v>
      </c>
      <c r="F322" t="s">
        <v>14</v>
      </c>
      <c r="G322" t="s">
        <v>156</v>
      </c>
      <c r="H322" s="5">
        <v>14</v>
      </c>
      <c r="I322" s="3">
        <v>4266</v>
      </c>
      <c r="J322" s="10">
        <v>0</v>
      </c>
      <c r="K322" s="2">
        <v>59724</v>
      </c>
      <c r="L322" s="2">
        <f>Raw_Sales_Data3[[#This Row],[Quantity]]*Raw_Sales_Data3[[#This Row],[Unit Price]]*(Raw_Sales_Data3[[#This Row],[Discount %]]/100)</f>
        <v>0</v>
      </c>
      <c r="M322" t="str">
        <f>IF(COUNTIF(Raw_Sales_Data3[Order ID],Raw_Sales_Data3[[#This Row],[Order ID]])&gt;1,"Duplicate Order ID","Unique Order ID")</f>
        <v>Unique Order ID</v>
      </c>
    </row>
    <row r="323" spans="1:13" x14ac:dyDescent="0.3">
      <c r="A323" t="s">
        <v>377</v>
      </c>
      <c r="B323" s="1">
        <v>46103</v>
      </c>
      <c r="C323" t="s">
        <v>33</v>
      </c>
      <c r="D323" t="s">
        <v>70</v>
      </c>
      <c r="E323" t="s">
        <v>39</v>
      </c>
      <c r="F323" t="s">
        <v>24</v>
      </c>
      <c r="G323" t="s">
        <v>53</v>
      </c>
      <c r="H323" s="5">
        <v>11</v>
      </c>
      <c r="I323" s="3">
        <v>12678</v>
      </c>
      <c r="J323" s="10">
        <v>0</v>
      </c>
      <c r="K323" s="2">
        <v>139458</v>
      </c>
      <c r="L323" s="2">
        <f>Raw_Sales_Data3[[#This Row],[Quantity]]*Raw_Sales_Data3[[#This Row],[Unit Price]]*(Raw_Sales_Data3[[#This Row],[Discount %]]/100)</f>
        <v>0</v>
      </c>
      <c r="M323" t="str">
        <f>IF(COUNTIF(Raw_Sales_Data3[Order ID],Raw_Sales_Data3[[#This Row],[Order ID]])&gt;1,"Duplicate Order ID","Unique Order ID")</f>
        <v>Unique Order ID</v>
      </c>
    </row>
    <row r="324" spans="1:13" x14ac:dyDescent="0.3">
      <c r="A324" t="s">
        <v>378</v>
      </c>
      <c r="B324" s="1">
        <v>46080</v>
      </c>
      <c r="C324" t="s">
        <v>48</v>
      </c>
      <c r="D324" t="s">
        <v>58</v>
      </c>
      <c r="E324" t="s">
        <v>39</v>
      </c>
      <c r="F324" t="s">
        <v>19</v>
      </c>
      <c r="G324" t="s">
        <v>120</v>
      </c>
      <c r="H324" s="5">
        <v>2</v>
      </c>
      <c r="I324" s="3">
        <v>49642</v>
      </c>
      <c r="J324" s="10">
        <v>0</v>
      </c>
      <c r="K324" s="2">
        <v>99284</v>
      </c>
      <c r="L324" s="2">
        <f>Raw_Sales_Data3[[#This Row],[Quantity]]*Raw_Sales_Data3[[#This Row],[Unit Price]]*(Raw_Sales_Data3[[#This Row],[Discount %]]/100)</f>
        <v>0</v>
      </c>
      <c r="M324" t="str">
        <f>IF(COUNTIF(Raw_Sales_Data3[Order ID],Raw_Sales_Data3[[#This Row],[Order ID]])&gt;1,"Duplicate Order ID","Unique Order ID")</f>
        <v>Unique Order ID</v>
      </c>
    </row>
    <row r="325" spans="1:13" x14ac:dyDescent="0.3">
      <c r="A325" t="s">
        <v>379</v>
      </c>
      <c r="B325" s="1">
        <v>46051</v>
      </c>
      <c r="C325" t="s">
        <v>57</v>
      </c>
      <c r="D325" t="s">
        <v>58</v>
      </c>
      <c r="E325" t="s">
        <v>13</v>
      </c>
      <c r="F325" t="s">
        <v>19</v>
      </c>
      <c r="G325" t="s">
        <v>79</v>
      </c>
      <c r="H325" s="5">
        <f>K325/(I325*(1-J325/100))</f>
        <v>9</v>
      </c>
      <c r="I325" s="3">
        <v>16798</v>
      </c>
      <c r="J325" s="10">
        <v>15</v>
      </c>
      <c r="K325" s="2">
        <v>128504.7</v>
      </c>
      <c r="L325" s="2">
        <f>Raw_Sales_Data3[[#This Row],[Quantity]]*Raw_Sales_Data3[[#This Row],[Unit Price]]*(Raw_Sales_Data3[[#This Row],[Discount %]]/100)</f>
        <v>22677.3</v>
      </c>
      <c r="M325" t="str">
        <f>IF(COUNTIF(Raw_Sales_Data3[Order ID],Raw_Sales_Data3[[#This Row],[Order ID]])&gt;1,"Duplicate Order ID","Unique Order ID")</f>
        <v>Unique Order ID</v>
      </c>
    </row>
    <row r="326" spans="1:13" x14ac:dyDescent="0.3">
      <c r="A326" t="s">
        <v>380</v>
      </c>
      <c r="B326" s="1">
        <v>46055</v>
      </c>
      <c r="C326" t="s">
        <v>62</v>
      </c>
      <c r="D326" t="s">
        <v>70</v>
      </c>
      <c r="E326" t="s">
        <v>18</v>
      </c>
      <c r="F326" t="s">
        <v>19</v>
      </c>
      <c r="G326" t="s">
        <v>20</v>
      </c>
      <c r="H326" s="5">
        <v>12</v>
      </c>
      <c r="I326" s="3">
        <v>49019</v>
      </c>
      <c r="J326" s="10">
        <v>5</v>
      </c>
      <c r="K326" s="2">
        <v>558816.6</v>
      </c>
      <c r="L326" s="2">
        <f>Raw_Sales_Data3[[#This Row],[Quantity]]*Raw_Sales_Data3[[#This Row],[Unit Price]]*(Raw_Sales_Data3[[#This Row],[Discount %]]/100)</f>
        <v>29411.4</v>
      </c>
      <c r="M326" t="str">
        <f>IF(COUNTIF(Raw_Sales_Data3[Order ID],Raw_Sales_Data3[[#This Row],[Order ID]])&gt;1,"Duplicate Order ID","Unique Order ID")</f>
        <v>Unique Order ID</v>
      </c>
    </row>
    <row r="327" spans="1:13" x14ac:dyDescent="0.3">
      <c r="A327" t="s">
        <v>381</v>
      </c>
      <c r="B327" s="1">
        <v>46086</v>
      </c>
      <c r="C327" t="s">
        <v>45</v>
      </c>
      <c r="D327" t="s">
        <v>58</v>
      </c>
      <c r="E327" t="s">
        <v>18</v>
      </c>
      <c r="F327" t="s">
        <v>14</v>
      </c>
      <c r="G327" t="s">
        <v>98</v>
      </c>
      <c r="H327" s="5">
        <v>7</v>
      </c>
      <c r="I327" s="3">
        <v>8908</v>
      </c>
      <c r="J327" s="10">
        <v>0</v>
      </c>
      <c r="K327" s="2">
        <v>62356</v>
      </c>
      <c r="L327" s="2">
        <f>Raw_Sales_Data3[[#This Row],[Quantity]]*Raw_Sales_Data3[[#This Row],[Unit Price]]*(Raw_Sales_Data3[[#This Row],[Discount %]]/100)</f>
        <v>0</v>
      </c>
      <c r="M327" t="str">
        <f>IF(COUNTIF(Raw_Sales_Data3[Order ID],Raw_Sales_Data3[[#This Row],[Order ID]])&gt;1,"Duplicate Order ID","Unique Order ID")</f>
        <v>Unique Order ID</v>
      </c>
    </row>
    <row r="328" spans="1:13" x14ac:dyDescent="0.3">
      <c r="A328" t="s">
        <v>382</v>
      </c>
      <c r="B328" s="1">
        <v>46047</v>
      </c>
      <c r="C328" t="s">
        <v>17</v>
      </c>
      <c r="D328" t="s">
        <v>58</v>
      </c>
      <c r="E328" t="s">
        <v>34</v>
      </c>
      <c r="F328" t="s">
        <v>19</v>
      </c>
      <c r="G328" t="s">
        <v>79</v>
      </c>
      <c r="H328" s="5">
        <v>12</v>
      </c>
      <c r="I328" s="3">
        <v>14415</v>
      </c>
      <c r="J328" s="10">
        <v>20</v>
      </c>
      <c r="K328" s="2">
        <v>138384</v>
      </c>
      <c r="L328" s="2">
        <f>Raw_Sales_Data3[[#This Row],[Quantity]]*Raw_Sales_Data3[[#This Row],[Unit Price]]*(Raw_Sales_Data3[[#This Row],[Discount %]]/100)</f>
        <v>34596</v>
      </c>
      <c r="M328" t="str">
        <f>IF(COUNTIF(Raw_Sales_Data3[Order ID],Raw_Sales_Data3[[#This Row],[Order ID]])&gt;1,"Duplicate Order ID","Unique Order ID")</f>
        <v>Duplicate Order ID</v>
      </c>
    </row>
    <row r="329" spans="1:13" x14ac:dyDescent="0.3">
      <c r="A329" t="s">
        <v>382</v>
      </c>
      <c r="B329" s="1">
        <v>46077</v>
      </c>
      <c r="C329" t="s">
        <v>42</v>
      </c>
      <c r="D329" t="s">
        <v>23</v>
      </c>
      <c r="E329" t="s">
        <v>34</v>
      </c>
      <c r="F329" t="s">
        <v>24</v>
      </c>
      <c r="G329" t="s">
        <v>25</v>
      </c>
      <c r="H329" s="5">
        <v>15</v>
      </c>
      <c r="I329" s="3">
        <v>3645</v>
      </c>
      <c r="J329" s="10">
        <v>10</v>
      </c>
      <c r="K329" s="2">
        <v>49207.5</v>
      </c>
      <c r="L329" s="2">
        <f>Raw_Sales_Data3[[#This Row],[Quantity]]*Raw_Sales_Data3[[#This Row],[Unit Price]]*(Raw_Sales_Data3[[#This Row],[Discount %]]/100)</f>
        <v>5467.5</v>
      </c>
      <c r="M329" t="str">
        <f>IF(COUNTIF(Raw_Sales_Data3[Order ID],Raw_Sales_Data3[[#This Row],[Order ID]])&gt;1,"Duplicate Order ID","Unique Order ID")</f>
        <v>Duplicate Order ID</v>
      </c>
    </row>
    <row r="330" spans="1:13" x14ac:dyDescent="0.3">
      <c r="A330" t="s">
        <v>383</v>
      </c>
      <c r="B330" s="1">
        <v>46067</v>
      </c>
      <c r="C330" t="s">
        <v>36</v>
      </c>
      <c r="D330" t="s">
        <v>70</v>
      </c>
      <c r="E330" t="s">
        <v>34</v>
      </c>
      <c r="F330" t="s">
        <v>24</v>
      </c>
      <c r="G330" t="s">
        <v>77</v>
      </c>
      <c r="H330" s="5">
        <v>12</v>
      </c>
      <c r="I330" s="3">
        <v>7181</v>
      </c>
      <c r="J330" s="10">
        <v>5</v>
      </c>
      <c r="K330" s="2">
        <v>81863.399999999994</v>
      </c>
      <c r="L330" s="2">
        <f>Raw_Sales_Data3[[#This Row],[Quantity]]*Raw_Sales_Data3[[#This Row],[Unit Price]]*(Raw_Sales_Data3[[#This Row],[Discount %]]/100)</f>
        <v>4308.6000000000004</v>
      </c>
      <c r="M330" t="str">
        <f>IF(COUNTIF(Raw_Sales_Data3[Order ID],Raw_Sales_Data3[[#This Row],[Order ID]])&gt;1,"Duplicate Order ID","Unique Order ID")</f>
        <v>Unique Order ID</v>
      </c>
    </row>
    <row r="331" spans="1:13" x14ac:dyDescent="0.3">
      <c r="A331" t="s">
        <v>384</v>
      </c>
      <c r="B331" s="1">
        <v>46025</v>
      </c>
      <c r="C331" t="s">
        <v>45</v>
      </c>
      <c r="D331" t="s">
        <v>70</v>
      </c>
      <c r="E331" t="s">
        <v>39</v>
      </c>
      <c r="F331" t="s">
        <v>19</v>
      </c>
      <c r="G331" t="s">
        <v>59</v>
      </c>
      <c r="H331" s="5">
        <v>3</v>
      </c>
      <c r="I331" s="3">
        <f>K331/H331</f>
        <v>11750.550000000001</v>
      </c>
      <c r="J331" s="10">
        <v>5</v>
      </c>
      <c r="K331" s="2">
        <v>35251.65</v>
      </c>
      <c r="L331" s="2">
        <f>Raw_Sales_Data3[[#This Row],[Quantity]]*Raw_Sales_Data3[[#This Row],[Unit Price]]*(Raw_Sales_Data3[[#This Row],[Discount %]]/100)</f>
        <v>1762.5825000000002</v>
      </c>
      <c r="M331" t="str">
        <f>IF(COUNTIF(Raw_Sales_Data3[Order ID],Raw_Sales_Data3[[#This Row],[Order ID]])&gt;1,"Duplicate Order ID","Unique Order ID")</f>
        <v>Unique Order ID</v>
      </c>
    </row>
    <row r="332" spans="1:13" x14ac:dyDescent="0.3">
      <c r="A332" t="s">
        <v>385</v>
      </c>
      <c r="B332" s="1">
        <v>46111</v>
      </c>
      <c r="C332" t="s">
        <v>54</v>
      </c>
      <c r="D332" t="s">
        <v>43</v>
      </c>
      <c r="E332" t="s">
        <v>28</v>
      </c>
      <c r="F332" t="s">
        <v>14</v>
      </c>
      <c r="G332" t="s">
        <v>125</v>
      </c>
      <c r="H332" s="5">
        <v>15</v>
      </c>
      <c r="I332" s="3">
        <v>55088</v>
      </c>
      <c r="J332" s="10">
        <v>15</v>
      </c>
      <c r="K332" s="2">
        <v>702372</v>
      </c>
      <c r="L332" s="2">
        <f>Raw_Sales_Data3[[#This Row],[Quantity]]*Raw_Sales_Data3[[#This Row],[Unit Price]]*(Raw_Sales_Data3[[#This Row],[Discount %]]/100)</f>
        <v>123948</v>
      </c>
      <c r="M332" t="str">
        <f>IF(COUNTIF(Raw_Sales_Data3[Order ID],Raw_Sales_Data3[[#This Row],[Order ID]])&gt;1,"Duplicate Order ID","Unique Order ID")</f>
        <v>Unique Order ID</v>
      </c>
    </row>
    <row r="333" spans="1:13" x14ac:dyDescent="0.3">
      <c r="A333" t="s">
        <v>386</v>
      </c>
      <c r="B333" s="1">
        <v>46072</v>
      </c>
      <c r="C333" t="s">
        <v>91</v>
      </c>
      <c r="D333" t="s">
        <v>70</v>
      </c>
      <c r="E333" t="s">
        <v>13</v>
      </c>
      <c r="F333" t="s">
        <v>24</v>
      </c>
      <c r="G333" t="s">
        <v>29</v>
      </c>
      <c r="H333" s="5">
        <v>15</v>
      </c>
      <c r="I333" s="3">
        <v>10689</v>
      </c>
      <c r="J333" s="10">
        <v>0</v>
      </c>
      <c r="K333" s="2">
        <v>160335</v>
      </c>
      <c r="L333" s="2">
        <f>Raw_Sales_Data3[[#This Row],[Quantity]]*Raw_Sales_Data3[[#This Row],[Unit Price]]*(Raw_Sales_Data3[[#This Row],[Discount %]]/100)</f>
        <v>0</v>
      </c>
      <c r="M333" t="str">
        <f>IF(COUNTIF(Raw_Sales_Data3[Order ID],Raw_Sales_Data3[[#This Row],[Order ID]])&gt;1,"Duplicate Order ID","Unique Order ID")</f>
        <v>Unique Order ID</v>
      </c>
    </row>
    <row r="334" spans="1:13" x14ac:dyDescent="0.3">
      <c r="A334" t="s">
        <v>387</v>
      </c>
      <c r="B334" s="1">
        <v>46035</v>
      </c>
      <c r="C334" t="s">
        <v>38</v>
      </c>
      <c r="D334" t="s">
        <v>58</v>
      </c>
      <c r="E334" t="s">
        <v>28</v>
      </c>
      <c r="F334" t="s">
        <v>24</v>
      </c>
      <c r="G334" t="s">
        <v>55</v>
      </c>
      <c r="H334" s="5">
        <v>6</v>
      </c>
      <c r="I334" s="3">
        <v>30920</v>
      </c>
      <c r="J334" s="10">
        <v>5</v>
      </c>
      <c r="K334" s="2">
        <v>176244</v>
      </c>
      <c r="L334" s="2">
        <f>Raw_Sales_Data3[[#This Row],[Quantity]]*Raw_Sales_Data3[[#This Row],[Unit Price]]*(Raw_Sales_Data3[[#This Row],[Discount %]]/100)</f>
        <v>9276</v>
      </c>
      <c r="M334" t="str">
        <f>IF(COUNTIF(Raw_Sales_Data3[Order ID],Raw_Sales_Data3[[#This Row],[Order ID]])&gt;1,"Duplicate Order ID","Unique Order ID")</f>
        <v>Unique Order ID</v>
      </c>
    </row>
    <row r="335" spans="1:13" x14ac:dyDescent="0.3">
      <c r="A335" t="s">
        <v>388</v>
      </c>
      <c r="B335" s="1">
        <v>46025</v>
      </c>
      <c r="C335" t="s">
        <v>123</v>
      </c>
      <c r="D335" t="s">
        <v>58</v>
      </c>
      <c r="E335" t="s">
        <v>34</v>
      </c>
      <c r="F335" t="s">
        <v>14</v>
      </c>
      <c r="G335" t="s">
        <v>156</v>
      </c>
      <c r="H335" s="5">
        <v>14</v>
      </c>
      <c r="I335" s="3">
        <v>15027</v>
      </c>
      <c r="J335" s="10">
        <v>20</v>
      </c>
      <c r="K335" s="2">
        <v>168302.4</v>
      </c>
      <c r="L335" s="2">
        <f>Raw_Sales_Data3[[#This Row],[Quantity]]*Raw_Sales_Data3[[#This Row],[Unit Price]]*(Raw_Sales_Data3[[#This Row],[Discount %]]/100)</f>
        <v>42075.600000000006</v>
      </c>
      <c r="M335" t="str">
        <f>IF(COUNTIF(Raw_Sales_Data3[Order ID],Raw_Sales_Data3[[#This Row],[Order ID]])&gt;1,"Duplicate Order ID","Unique Order ID")</f>
        <v>Unique Order ID</v>
      </c>
    </row>
    <row r="336" spans="1:13" x14ac:dyDescent="0.3">
      <c r="A336" t="s">
        <v>389</v>
      </c>
      <c r="B336" s="1">
        <v>46061</v>
      </c>
      <c r="C336" t="s">
        <v>27</v>
      </c>
      <c r="D336" t="s">
        <v>43</v>
      </c>
      <c r="E336" t="s">
        <v>28</v>
      </c>
      <c r="F336" t="s">
        <v>14</v>
      </c>
      <c r="G336" t="s">
        <v>98</v>
      </c>
      <c r="H336" s="5">
        <v>4</v>
      </c>
      <c r="I336" s="3">
        <v>6910</v>
      </c>
      <c r="J336" s="10">
        <v>0</v>
      </c>
      <c r="K336" s="2">
        <v>27640</v>
      </c>
      <c r="L336" s="2">
        <f>Raw_Sales_Data3[[#This Row],[Quantity]]*Raw_Sales_Data3[[#This Row],[Unit Price]]*(Raw_Sales_Data3[[#This Row],[Discount %]]/100)</f>
        <v>0</v>
      </c>
      <c r="M336" t="str">
        <f>IF(COUNTIF(Raw_Sales_Data3[Order ID],Raw_Sales_Data3[[#This Row],[Order ID]])&gt;1,"Duplicate Order ID","Unique Order ID")</f>
        <v>Unique Order ID</v>
      </c>
    </row>
    <row r="337" spans="1:13" x14ac:dyDescent="0.3">
      <c r="A337" t="s">
        <v>390</v>
      </c>
      <c r="B337" s="1"/>
      <c r="C337" t="s">
        <v>12</v>
      </c>
      <c r="D337" t="s">
        <v>23</v>
      </c>
      <c r="E337" t="s">
        <v>13</v>
      </c>
      <c r="F337" t="s">
        <v>19</v>
      </c>
      <c r="G337" t="s">
        <v>1038</v>
      </c>
      <c r="H337" s="5">
        <v>6</v>
      </c>
      <c r="I337" s="3">
        <f>K337/H337</f>
        <v>41466</v>
      </c>
      <c r="J337" s="10">
        <v>0</v>
      </c>
      <c r="K337" s="2">
        <v>248796</v>
      </c>
      <c r="L337" s="2">
        <f>Raw_Sales_Data3[[#This Row],[Quantity]]*Raw_Sales_Data3[[#This Row],[Unit Price]]*(Raw_Sales_Data3[[#This Row],[Discount %]]/100)</f>
        <v>0</v>
      </c>
      <c r="M337" t="str">
        <f>IF(COUNTIF(Raw_Sales_Data3[Order ID],Raw_Sales_Data3[[#This Row],[Order ID]])&gt;1,"Duplicate Order ID","Unique Order ID")</f>
        <v>Unique Order ID</v>
      </c>
    </row>
    <row r="338" spans="1:13" x14ac:dyDescent="0.3">
      <c r="A338" t="s">
        <v>391</v>
      </c>
      <c r="B338" s="1">
        <v>46055</v>
      </c>
      <c r="C338" t="s">
        <v>12</v>
      </c>
      <c r="D338" t="s">
        <v>70</v>
      </c>
      <c r="E338" t="s">
        <v>13</v>
      </c>
      <c r="F338" t="s">
        <v>19</v>
      </c>
      <c r="G338" t="s">
        <v>71</v>
      </c>
      <c r="H338" s="5">
        <v>15</v>
      </c>
      <c r="I338" s="3">
        <v>22055</v>
      </c>
      <c r="J338" s="10">
        <v>10</v>
      </c>
      <c r="K338" s="2">
        <v>297742.5</v>
      </c>
      <c r="L338" s="2">
        <f>Raw_Sales_Data3[[#This Row],[Quantity]]*Raw_Sales_Data3[[#This Row],[Unit Price]]*(Raw_Sales_Data3[[#This Row],[Discount %]]/100)</f>
        <v>33082.5</v>
      </c>
      <c r="M338" t="str">
        <f>IF(COUNTIF(Raw_Sales_Data3[Order ID],Raw_Sales_Data3[[#This Row],[Order ID]])&gt;1,"Duplicate Order ID","Unique Order ID")</f>
        <v>Unique Order ID</v>
      </c>
    </row>
    <row r="339" spans="1:13" x14ac:dyDescent="0.3">
      <c r="A339" t="s">
        <v>392</v>
      </c>
      <c r="B339" s="1">
        <v>46057</v>
      </c>
      <c r="C339" t="s">
        <v>50</v>
      </c>
      <c r="D339" t="s">
        <v>43</v>
      </c>
      <c r="E339" t="s">
        <v>28</v>
      </c>
      <c r="F339" t="s">
        <v>14</v>
      </c>
      <c r="G339" t="s">
        <v>103</v>
      </c>
      <c r="H339" s="5">
        <v>3</v>
      </c>
      <c r="I339" s="3">
        <v>54009</v>
      </c>
      <c r="J339" s="10">
        <v>15</v>
      </c>
      <c r="K339" s="2">
        <v>137722.95000000001</v>
      </c>
      <c r="L339" s="2">
        <f>Raw_Sales_Data3[[#This Row],[Quantity]]*Raw_Sales_Data3[[#This Row],[Unit Price]]*(Raw_Sales_Data3[[#This Row],[Discount %]]/100)</f>
        <v>24304.05</v>
      </c>
      <c r="M339" t="str">
        <f>IF(COUNTIF(Raw_Sales_Data3[Order ID],Raw_Sales_Data3[[#This Row],[Order ID]])&gt;1,"Duplicate Order ID","Unique Order ID")</f>
        <v>Unique Order ID</v>
      </c>
    </row>
    <row r="340" spans="1:13" x14ac:dyDescent="0.3">
      <c r="A340" t="s">
        <v>393</v>
      </c>
      <c r="B340" s="1">
        <v>46106</v>
      </c>
      <c r="C340" t="s">
        <v>54</v>
      </c>
      <c r="D340" t="s">
        <v>23</v>
      </c>
      <c r="E340" t="s">
        <v>34</v>
      </c>
      <c r="F340" t="s">
        <v>19</v>
      </c>
      <c r="G340" t="s">
        <v>46</v>
      </c>
      <c r="H340" s="5">
        <v>1</v>
      </c>
      <c r="I340" s="3">
        <v>14149</v>
      </c>
      <c r="J340" s="10">
        <v>15</v>
      </c>
      <c r="K340" s="2">
        <v>12026.65</v>
      </c>
      <c r="L340" s="2">
        <f>Raw_Sales_Data3[[#This Row],[Quantity]]*Raw_Sales_Data3[[#This Row],[Unit Price]]*(Raw_Sales_Data3[[#This Row],[Discount %]]/100)</f>
        <v>2122.35</v>
      </c>
      <c r="M340" t="str">
        <f>IF(COUNTIF(Raw_Sales_Data3[Order ID],Raw_Sales_Data3[[#This Row],[Order ID]])&gt;1,"Duplicate Order ID","Unique Order ID")</f>
        <v>Unique Order ID</v>
      </c>
    </row>
    <row r="341" spans="1:13" x14ac:dyDescent="0.3">
      <c r="A341" t="s">
        <v>394</v>
      </c>
      <c r="B341" s="1">
        <v>46086</v>
      </c>
      <c r="C341" t="s">
        <v>27</v>
      </c>
      <c r="D341" t="s">
        <v>70</v>
      </c>
      <c r="E341" t="s">
        <v>13</v>
      </c>
      <c r="F341" t="s">
        <v>19</v>
      </c>
      <c r="G341" t="s">
        <v>31</v>
      </c>
      <c r="H341" s="5">
        <v>8</v>
      </c>
      <c r="I341" s="3">
        <f>K341/H341</f>
        <v>39743.199999999997</v>
      </c>
      <c r="J341" s="10">
        <v>20</v>
      </c>
      <c r="K341" s="2">
        <v>317945.59999999998</v>
      </c>
      <c r="L341" s="2">
        <f>Raw_Sales_Data3[[#This Row],[Quantity]]*Raw_Sales_Data3[[#This Row],[Unit Price]]*(Raw_Sales_Data3[[#This Row],[Discount %]]/100)</f>
        <v>63589.119999999995</v>
      </c>
      <c r="M341" t="str">
        <f>IF(COUNTIF(Raw_Sales_Data3[Order ID],Raw_Sales_Data3[[#This Row],[Order ID]])&gt;1,"Duplicate Order ID","Unique Order ID")</f>
        <v>Unique Order ID</v>
      </c>
    </row>
    <row r="342" spans="1:13" x14ac:dyDescent="0.3">
      <c r="A342" t="s">
        <v>395</v>
      </c>
      <c r="B342" s="1">
        <v>46083</v>
      </c>
      <c r="C342" t="s">
        <v>57</v>
      </c>
      <c r="D342" t="s">
        <v>58</v>
      </c>
      <c r="E342" t="s">
        <v>18</v>
      </c>
      <c r="F342" t="s">
        <v>19</v>
      </c>
      <c r="G342" t="s">
        <v>59</v>
      </c>
      <c r="H342" s="5">
        <v>6</v>
      </c>
      <c r="I342" s="3">
        <v>35775</v>
      </c>
      <c r="J342" s="10">
        <v>0</v>
      </c>
      <c r="K342" s="2">
        <v>214650</v>
      </c>
      <c r="L342" s="2">
        <f>Raw_Sales_Data3[[#This Row],[Quantity]]*Raw_Sales_Data3[[#This Row],[Unit Price]]*(Raw_Sales_Data3[[#This Row],[Discount %]]/100)</f>
        <v>0</v>
      </c>
      <c r="M342" t="str">
        <f>IF(COUNTIF(Raw_Sales_Data3[Order ID],Raw_Sales_Data3[[#This Row],[Order ID]])&gt;1,"Duplicate Order ID","Unique Order ID")</f>
        <v>Unique Order ID</v>
      </c>
    </row>
    <row r="343" spans="1:13" x14ac:dyDescent="0.3">
      <c r="A343" t="s">
        <v>396</v>
      </c>
      <c r="B343" s="1">
        <v>46077</v>
      </c>
      <c r="C343" t="s">
        <v>45</v>
      </c>
      <c r="D343" t="s">
        <v>43</v>
      </c>
      <c r="E343" t="s">
        <v>13</v>
      </c>
      <c r="F343" t="s">
        <v>14</v>
      </c>
      <c r="G343" t="s">
        <v>66</v>
      </c>
      <c r="H343" s="5">
        <v>14</v>
      </c>
      <c r="I343" s="3">
        <v>24770</v>
      </c>
      <c r="J343" s="10">
        <v>0</v>
      </c>
      <c r="K343" s="2">
        <v>346780</v>
      </c>
      <c r="L343" s="2">
        <f>Raw_Sales_Data3[[#This Row],[Quantity]]*Raw_Sales_Data3[[#This Row],[Unit Price]]*(Raw_Sales_Data3[[#This Row],[Discount %]]/100)</f>
        <v>0</v>
      </c>
      <c r="M343" t="str">
        <f>IF(COUNTIF(Raw_Sales_Data3[Order ID],Raw_Sales_Data3[[#This Row],[Order ID]])&gt;1,"Duplicate Order ID","Unique Order ID")</f>
        <v>Unique Order ID</v>
      </c>
    </row>
    <row r="344" spans="1:13" x14ac:dyDescent="0.3">
      <c r="A344" t="s">
        <v>397</v>
      </c>
      <c r="B344" s="1">
        <v>46109</v>
      </c>
      <c r="C344" t="s">
        <v>38</v>
      </c>
      <c r="D344" t="s">
        <v>43</v>
      </c>
      <c r="E344" t="s">
        <v>18</v>
      </c>
      <c r="F344" t="s">
        <v>19</v>
      </c>
      <c r="G344" t="s">
        <v>117</v>
      </c>
      <c r="H344" s="5">
        <v>1</v>
      </c>
      <c r="I344" s="3">
        <v>34077</v>
      </c>
      <c r="J344" s="10">
        <v>5</v>
      </c>
      <c r="K344" s="2">
        <v>32373.15</v>
      </c>
      <c r="L344" s="2">
        <f>Raw_Sales_Data3[[#This Row],[Quantity]]*Raw_Sales_Data3[[#This Row],[Unit Price]]*(Raw_Sales_Data3[[#This Row],[Discount %]]/100)</f>
        <v>1703.8500000000001</v>
      </c>
      <c r="M344" t="str">
        <f>IF(COUNTIF(Raw_Sales_Data3[Order ID],Raw_Sales_Data3[[#This Row],[Order ID]])&gt;1,"Duplicate Order ID","Unique Order ID")</f>
        <v>Unique Order ID</v>
      </c>
    </row>
    <row r="345" spans="1:13" x14ac:dyDescent="0.3">
      <c r="A345" t="s">
        <v>398</v>
      </c>
      <c r="B345" s="1">
        <v>46081</v>
      </c>
      <c r="C345" t="s">
        <v>91</v>
      </c>
      <c r="D345" t="s">
        <v>58</v>
      </c>
      <c r="E345" t="s">
        <v>13</v>
      </c>
      <c r="F345" t="s">
        <v>14</v>
      </c>
      <c r="G345" t="s">
        <v>98</v>
      </c>
      <c r="H345" s="5">
        <v>2</v>
      </c>
      <c r="I345" s="3">
        <v>5870</v>
      </c>
      <c r="J345" s="10">
        <v>0</v>
      </c>
      <c r="K345" s="2">
        <v>11740</v>
      </c>
      <c r="L345" s="2">
        <f>Raw_Sales_Data3[[#This Row],[Quantity]]*Raw_Sales_Data3[[#This Row],[Unit Price]]*(Raw_Sales_Data3[[#This Row],[Discount %]]/100)</f>
        <v>0</v>
      </c>
      <c r="M345" t="str">
        <f>IF(COUNTIF(Raw_Sales_Data3[Order ID],Raw_Sales_Data3[[#This Row],[Order ID]])&gt;1,"Duplicate Order ID","Unique Order ID")</f>
        <v>Unique Order ID</v>
      </c>
    </row>
    <row r="346" spans="1:13" x14ac:dyDescent="0.3">
      <c r="A346" t="s">
        <v>399</v>
      </c>
      <c r="B346" s="1">
        <v>46082</v>
      </c>
      <c r="C346" t="s">
        <v>48</v>
      </c>
      <c r="D346" t="s">
        <v>70</v>
      </c>
      <c r="E346" t="s">
        <v>28</v>
      </c>
      <c r="F346" t="s">
        <v>14</v>
      </c>
      <c r="G346" t="s">
        <v>98</v>
      </c>
      <c r="H346" s="5">
        <v>15</v>
      </c>
      <c r="I346" s="3">
        <v>38764</v>
      </c>
      <c r="J346" s="10">
        <v>0</v>
      </c>
      <c r="K346" s="2">
        <v>581460</v>
      </c>
      <c r="L346" s="2">
        <f>Raw_Sales_Data3[[#This Row],[Quantity]]*Raw_Sales_Data3[[#This Row],[Unit Price]]*(Raw_Sales_Data3[[#This Row],[Discount %]]/100)</f>
        <v>0</v>
      </c>
      <c r="M346" t="str">
        <f>IF(COUNTIF(Raw_Sales_Data3[Order ID],Raw_Sales_Data3[[#This Row],[Order ID]])&gt;1,"Duplicate Order ID","Unique Order ID")</f>
        <v>Unique Order ID</v>
      </c>
    </row>
    <row r="347" spans="1:13" x14ac:dyDescent="0.3">
      <c r="A347" t="s">
        <v>400</v>
      </c>
      <c r="B347" s="1">
        <v>46049</v>
      </c>
      <c r="C347" t="s">
        <v>22</v>
      </c>
      <c r="D347" t="s">
        <v>43</v>
      </c>
      <c r="E347" t="s">
        <v>39</v>
      </c>
      <c r="F347" t="s">
        <v>24</v>
      </c>
      <c r="G347" t="s">
        <v>77</v>
      </c>
      <c r="H347" s="5">
        <v>6</v>
      </c>
      <c r="I347" s="3">
        <v>50101</v>
      </c>
      <c r="J347" s="10">
        <v>0</v>
      </c>
      <c r="K347" s="2">
        <v>300606</v>
      </c>
      <c r="L347" s="2">
        <f>Raw_Sales_Data3[[#This Row],[Quantity]]*Raw_Sales_Data3[[#This Row],[Unit Price]]*(Raw_Sales_Data3[[#This Row],[Discount %]]/100)</f>
        <v>0</v>
      </c>
      <c r="M347" t="str">
        <f>IF(COUNTIF(Raw_Sales_Data3[Order ID],Raw_Sales_Data3[[#This Row],[Order ID]])&gt;1,"Duplicate Order ID","Unique Order ID")</f>
        <v>Unique Order ID</v>
      </c>
    </row>
    <row r="348" spans="1:13" x14ac:dyDescent="0.3">
      <c r="A348" t="s">
        <v>401</v>
      </c>
      <c r="B348" s="1">
        <v>46087</v>
      </c>
      <c r="C348" t="s">
        <v>17</v>
      </c>
      <c r="D348" t="s">
        <v>23</v>
      </c>
      <c r="E348" t="s">
        <v>34</v>
      </c>
      <c r="F348" t="s">
        <v>24</v>
      </c>
      <c r="G348" t="s">
        <v>71</v>
      </c>
      <c r="H348" s="5">
        <v>8</v>
      </c>
      <c r="I348" s="3">
        <v>23569</v>
      </c>
      <c r="J348" s="10">
        <v>20</v>
      </c>
      <c r="K348" s="2">
        <v>150841.60000000001</v>
      </c>
      <c r="L348" s="2">
        <f>Raw_Sales_Data3[[#This Row],[Quantity]]*Raw_Sales_Data3[[#This Row],[Unit Price]]*(Raw_Sales_Data3[[#This Row],[Discount %]]/100)</f>
        <v>37710.400000000001</v>
      </c>
      <c r="M348" t="str">
        <f>IF(COUNTIF(Raw_Sales_Data3[Order ID],Raw_Sales_Data3[[#This Row],[Order ID]])&gt;1,"Duplicate Order ID","Unique Order ID")</f>
        <v>Unique Order ID</v>
      </c>
    </row>
    <row r="349" spans="1:13" x14ac:dyDescent="0.3">
      <c r="A349" t="s">
        <v>402</v>
      </c>
      <c r="B349" s="1">
        <v>46066</v>
      </c>
      <c r="C349" t="s">
        <v>54</v>
      </c>
      <c r="D349" t="s">
        <v>23</v>
      </c>
      <c r="E349" t="s">
        <v>39</v>
      </c>
      <c r="F349" t="s">
        <v>19</v>
      </c>
      <c r="G349" t="s">
        <v>120</v>
      </c>
      <c r="H349" s="5">
        <v>2</v>
      </c>
      <c r="I349" s="3">
        <v>51440</v>
      </c>
      <c r="J349" s="10">
        <v>0</v>
      </c>
      <c r="K349" s="2">
        <v>102880</v>
      </c>
      <c r="L349" s="2">
        <f>Raw_Sales_Data3[[#This Row],[Quantity]]*Raw_Sales_Data3[[#This Row],[Unit Price]]*(Raw_Sales_Data3[[#This Row],[Discount %]]/100)</f>
        <v>0</v>
      </c>
      <c r="M349" t="str">
        <f>IF(COUNTIF(Raw_Sales_Data3[Order ID],Raw_Sales_Data3[[#This Row],[Order ID]])&gt;1,"Duplicate Order ID","Unique Order ID")</f>
        <v>Unique Order ID</v>
      </c>
    </row>
    <row r="350" spans="1:13" x14ac:dyDescent="0.3">
      <c r="A350" t="s">
        <v>403</v>
      </c>
      <c r="B350" s="1">
        <v>46086</v>
      </c>
      <c r="C350" t="s">
        <v>69</v>
      </c>
      <c r="D350" t="s">
        <v>23</v>
      </c>
      <c r="E350" t="s">
        <v>34</v>
      </c>
      <c r="F350" t="s">
        <v>14</v>
      </c>
      <c r="G350" t="s">
        <v>103</v>
      </c>
      <c r="H350" s="5">
        <v>8</v>
      </c>
      <c r="I350" s="3">
        <v>29672</v>
      </c>
      <c r="J350" s="10">
        <v>15</v>
      </c>
      <c r="K350" s="2">
        <v>201769.60000000001</v>
      </c>
      <c r="L350" s="2">
        <f>Raw_Sales_Data3[[#This Row],[Quantity]]*Raw_Sales_Data3[[#This Row],[Unit Price]]*(Raw_Sales_Data3[[#This Row],[Discount %]]/100)</f>
        <v>35606.400000000001</v>
      </c>
      <c r="M350" t="str">
        <f>IF(COUNTIF(Raw_Sales_Data3[Order ID],Raw_Sales_Data3[[#This Row],[Order ID]])&gt;1,"Duplicate Order ID","Unique Order ID")</f>
        <v>Unique Order ID</v>
      </c>
    </row>
    <row r="351" spans="1:13" x14ac:dyDescent="0.3">
      <c r="A351" t="s">
        <v>404</v>
      </c>
      <c r="B351" s="1">
        <v>46094</v>
      </c>
      <c r="C351" t="s">
        <v>89</v>
      </c>
      <c r="D351" t="s">
        <v>70</v>
      </c>
      <c r="E351" t="s">
        <v>13</v>
      </c>
      <c r="F351" t="s">
        <v>14</v>
      </c>
      <c r="G351" t="s">
        <v>73</v>
      </c>
      <c r="H351" s="5">
        <v>14</v>
      </c>
      <c r="I351" s="3">
        <v>23916</v>
      </c>
      <c r="J351" s="10">
        <v>0</v>
      </c>
      <c r="K351" s="2">
        <v>334824</v>
      </c>
      <c r="L351" s="2">
        <f>Raw_Sales_Data3[[#This Row],[Quantity]]*Raw_Sales_Data3[[#This Row],[Unit Price]]*(Raw_Sales_Data3[[#This Row],[Discount %]]/100)</f>
        <v>0</v>
      </c>
      <c r="M351" t="str">
        <f>IF(COUNTIF(Raw_Sales_Data3[Order ID],Raw_Sales_Data3[[#This Row],[Order ID]])&gt;1,"Duplicate Order ID","Unique Order ID")</f>
        <v>Unique Order ID</v>
      </c>
    </row>
    <row r="352" spans="1:13" x14ac:dyDescent="0.3">
      <c r="A352" t="s">
        <v>405</v>
      </c>
      <c r="B352" s="1">
        <v>46106</v>
      </c>
      <c r="C352" t="s">
        <v>57</v>
      </c>
      <c r="D352" t="s">
        <v>70</v>
      </c>
      <c r="E352" t="s">
        <v>34</v>
      </c>
      <c r="F352" t="s">
        <v>14</v>
      </c>
      <c r="G352" t="s">
        <v>66</v>
      </c>
      <c r="H352" s="5">
        <v>1</v>
      </c>
      <c r="I352" s="3">
        <v>10348</v>
      </c>
      <c r="J352" s="10">
        <v>5</v>
      </c>
      <c r="K352" s="2">
        <v>9830.6</v>
      </c>
      <c r="L352" s="2">
        <f>Raw_Sales_Data3[[#This Row],[Quantity]]*Raw_Sales_Data3[[#This Row],[Unit Price]]*(Raw_Sales_Data3[[#This Row],[Discount %]]/100)</f>
        <v>517.4</v>
      </c>
      <c r="M352" t="str">
        <f>IF(COUNTIF(Raw_Sales_Data3[Order ID],Raw_Sales_Data3[[#This Row],[Order ID]])&gt;1,"Duplicate Order ID","Unique Order ID")</f>
        <v>Unique Order ID</v>
      </c>
    </row>
    <row r="353" spans="1:13" x14ac:dyDescent="0.3">
      <c r="A353" t="s">
        <v>406</v>
      </c>
      <c r="B353" s="1">
        <v>46048</v>
      </c>
      <c r="C353" t="s">
        <v>33</v>
      </c>
      <c r="D353" t="s">
        <v>23</v>
      </c>
      <c r="E353" t="s">
        <v>39</v>
      </c>
      <c r="F353" t="s">
        <v>14</v>
      </c>
      <c r="G353" t="s">
        <v>66</v>
      </c>
      <c r="H353" s="5">
        <v>2</v>
      </c>
      <c r="I353" s="3">
        <v>40544</v>
      </c>
      <c r="J353" s="10">
        <v>0</v>
      </c>
      <c r="K353" s="2">
        <v>81088</v>
      </c>
      <c r="L353" s="2">
        <f>Raw_Sales_Data3[[#This Row],[Quantity]]*Raw_Sales_Data3[[#This Row],[Unit Price]]*(Raw_Sales_Data3[[#This Row],[Discount %]]/100)</f>
        <v>0</v>
      </c>
      <c r="M353" t="str">
        <f>IF(COUNTIF(Raw_Sales_Data3[Order ID],Raw_Sales_Data3[[#This Row],[Order ID]])&gt;1,"Duplicate Order ID","Unique Order ID")</f>
        <v>Unique Order ID</v>
      </c>
    </row>
    <row r="354" spans="1:13" x14ac:dyDescent="0.3">
      <c r="A354" t="s">
        <v>407</v>
      </c>
      <c r="B354" s="1">
        <v>46033</v>
      </c>
      <c r="C354" t="s">
        <v>69</v>
      </c>
      <c r="D354" t="s">
        <v>58</v>
      </c>
      <c r="E354" t="s">
        <v>18</v>
      </c>
      <c r="F354" t="s">
        <v>14</v>
      </c>
      <c r="G354" t="s">
        <v>51</v>
      </c>
      <c r="H354" s="5">
        <v>3</v>
      </c>
      <c r="I354" s="3">
        <v>20491</v>
      </c>
      <c r="J354" s="10">
        <v>0</v>
      </c>
      <c r="K354" s="2">
        <v>61473</v>
      </c>
      <c r="L354" s="2">
        <f>Raw_Sales_Data3[[#This Row],[Quantity]]*Raw_Sales_Data3[[#This Row],[Unit Price]]*(Raw_Sales_Data3[[#This Row],[Discount %]]/100)</f>
        <v>0</v>
      </c>
      <c r="M354" t="str">
        <f>IF(COUNTIF(Raw_Sales_Data3[Order ID],Raw_Sales_Data3[[#This Row],[Order ID]])&gt;1,"Duplicate Order ID","Unique Order ID")</f>
        <v>Unique Order ID</v>
      </c>
    </row>
    <row r="355" spans="1:13" x14ac:dyDescent="0.3">
      <c r="A355" t="s">
        <v>408</v>
      </c>
      <c r="B355" s="1">
        <v>46042</v>
      </c>
      <c r="C355" t="s">
        <v>57</v>
      </c>
      <c r="D355" t="s">
        <v>43</v>
      </c>
      <c r="E355" t="s">
        <v>18</v>
      </c>
      <c r="F355" t="s">
        <v>14</v>
      </c>
      <c r="G355" t="s">
        <v>15</v>
      </c>
      <c r="H355" s="5">
        <v>13</v>
      </c>
      <c r="I355" s="3">
        <v>42167</v>
      </c>
      <c r="J355" s="10">
        <v>0</v>
      </c>
      <c r="K355" s="2">
        <v>548171</v>
      </c>
      <c r="L355" s="2">
        <f>Raw_Sales_Data3[[#This Row],[Quantity]]*Raw_Sales_Data3[[#This Row],[Unit Price]]*(Raw_Sales_Data3[[#This Row],[Discount %]]/100)</f>
        <v>0</v>
      </c>
      <c r="M355" t="str">
        <f>IF(COUNTIF(Raw_Sales_Data3[Order ID],Raw_Sales_Data3[[#This Row],[Order ID]])&gt;1,"Duplicate Order ID","Unique Order ID")</f>
        <v>Unique Order ID</v>
      </c>
    </row>
    <row r="356" spans="1:13" x14ac:dyDescent="0.3">
      <c r="A356" t="s">
        <v>409</v>
      </c>
      <c r="B356" s="1">
        <v>46055</v>
      </c>
      <c r="C356" t="s">
        <v>123</v>
      </c>
      <c r="D356" t="s">
        <v>23</v>
      </c>
      <c r="E356" t="s">
        <v>34</v>
      </c>
      <c r="F356" t="s">
        <v>19</v>
      </c>
      <c r="G356" t="s">
        <v>29</v>
      </c>
      <c r="H356" s="5">
        <v>10</v>
      </c>
      <c r="I356" s="3">
        <v>16420</v>
      </c>
      <c r="J356" s="10">
        <v>10</v>
      </c>
      <c r="K356" s="2">
        <v>147780</v>
      </c>
      <c r="L356" s="2">
        <f>Raw_Sales_Data3[[#This Row],[Quantity]]*Raw_Sales_Data3[[#This Row],[Unit Price]]*(Raw_Sales_Data3[[#This Row],[Discount %]]/100)</f>
        <v>16420</v>
      </c>
      <c r="M356" t="str">
        <f>IF(COUNTIF(Raw_Sales_Data3[Order ID],Raw_Sales_Data3[[#This Row],[Order ID]])&gt;1,"Duplicate Order ID","Unique Order ID")</f>
        <v>Unique Order ID</v>
      </c>
    </row>
    <row r="357" spans="1:13" x14ac:dyDescent="0.3">
      <c r="A357" t="s">
        <v>410</v>
      </c>
      <c r="B357" s="1">
        <v>46055</v>
      </c>
      <c r="C357" t="s">
        <v>38</v>
      </c>
      <c r="D357" t="s">
        <v>70</v>
      </c>
      <c r="E357" t="s">
        <v>18</v>
      </c>
      <c r="F357" t="s">
        <v>14</v>
      </c>
      <c r="G357" t="s">
        <v>125</v>
      </c>
      <c r="H357" s="5">
        <v>9</v>
      </c>
      <c r="I357" s="3">
        <v>31746</v>
      </c>
      <c r="J357" s="10">
        <v>20</v>
      </c>
      <c r="K357" s="2">
        <v>228571.2</v>
      </c>
      <c r="L357" s="2">
        <f>Raw_Sales_Data3[[#This Row],[Quantity]]*Raw_Sales_Data3[[#This Row],[Unit Price]]*(Raw_Sales_Data3[[#This Row],[Discount %]]/100)</f>
        <v>57142.8</v>
      </c>
      <c r="M357" t="str">
        <f>IF(COUNTIF(Raw_Sales_Data3[Order ID],Raw_Sales_Data3[[#This Row],[Order ID]])&gt;1,"Duplicate Order ID","Unique Order ID")</f>
        <v>Unique Order ID</v>
      </c>
    </row>
    <row r="358" spans="1:13" x14ac:dyDescent="0.3">
      <c r="A358" t="s">
        <v>411</v>
      </c>
      <c r="B358" s="1">
        <v>46032</v>
      </c>
      <c r="C358" t="s">
        <v>17</v>
      </c>
      <c r="D358" t="s">
        <v>70</v>
      </c>
      <c r="E358" t="s">
        <v>28</v>
      </c>
      <c r="F358" t="s">
        <v>24</v>
      </c>
      <c r="G358" t="s">
        <v>29</v>
      </c>
      <c r="H358" s="5">
        <v>1</v>
      </c>
      <c r="I358" s="3">
        <v>13631</v>
      </c>
      <c r="J358" s="10">
        <v>10</v>
      </c>
      <c r="K358" s="2">
        <v>12267.9</v>
      </c>
      <c r="L358" s="2">
        <f>Raw_Sales_Data3[[#This Row],[Quantity]]*Raw_Sales_Data3[[#This Row],[Unit Price]]*(Raw_Sales_Data3[[#This Row],[Discount %]]/100)</f>
        <v>1363.1000000000001</v>
      </c>
      <c r="M358" t="str">
        <f>IF(COUNTIF(Raw_Sales_Data3[Order ID],Raw_Sales_Data3[[#This Row],[Order ID]])&gt;1,"Duplicate Order ID","Unique Order ID")</f>
        <v>Unique Order ID</v>
      </c>
    </row>
    <row r="359" spans="1:13" x14ac:dyDescent="0.3">
      <c r="A359" t="s">
        <v>412</v>
      </c>
      <c r="B359" s="1"/>
      <c r="C359" t="s">
        <v>86</v>
      </c>
      <c r="D359" t="s">
        <v>70</v>
      </c>
      <c r="E359" t="s">
        <v>13</v>
      </c>
      <c r="F359" t="s">
        <v>24</v>
      </c>
      <c r="G359" t="s">
        <v>77</v>
      </c>
      <c r="H359" s="5">
        <v>9</v>
      </c>
      <c r="I359" s="3">
        <v>20608</v>
      </c>
      <c r="J359" s="10">
        <v>0</v>
      </c>
      <c r="K359" s="2">
        <v>185472</v>
      </c>
      <c r="L359" s="2">
        <f>Raw_Sales_Data3[[#This Row],[Quantity]]*Raw_Sales_Data3[[#This Row],[Unit Price]]*(Raw_Sales_Data3[[#This Row],[Discount %]]/100)</f>
        <v>0</v>
      </c>
      <c r="M359" t="str">
        <f>IF(COUNTIF(Raw_Sales_Data3[Order ID],Raw_Sales_Data3[[#This Row],[Order ID]])&gt;1,"Duplicate Order ID","Unique Order ID")</f>
        <v>Unique Order ID</v>
      </c>
    </row>
    <row r="360" spans="1:13" x14ac:dyDescent="0.3">
      <c r="A360" t="s">
        <v>413</v>
      </c>
      <c r="B360" s="1">
        <v>46080</v>
      </c>
      <c r="C360" t="s">
        <v>17</v>
      </c>
      <c r="D360" t="s">
        <v>43</v>
      </c>
      <c r="E360" t="s">
        <v>18</v>
      </c>
      <c r="F360" t="s">
        <v>14</v>
      </c>
      <c r="G360" t="s">
        <v>125</v>
      </c>
      <c r="H360" s="5">
        <v>2</v>
      </c>
      <c r="I360" s="3">
        <v>24121</v>
      </c>
      <c r="J360" s="10">
        <v>0</v>
      </c>
      <c r="K360" s="2">
        <v>48242</v>
      </c>
      <c r="L360" s="2">
        <f>Raw_Sales_Data3[[#This Row],[Quantity]]*Raw_Sales_Data3[[#This Row],[Unit Price]]*(Raw_Sales_Data3[[#This Row],[Discount %]]/100)</f>
        <v>0</v>
      </c>
      <c r="M360" t="str">
        <f>IF(COUNTIF(Raw_Sales_Data3[Order ID],Raw_Sales_Data3[[#This Row],[Order ID]])&gt;1,"Duplicate Order ID","Unique Order ID")</f>
        <v>Unique Order ID</v>
      </c>
    </row>
    <row r="361" spans="1:13" x14ac:dyDescent="0.3">
      <c r="A361" t="s">
        <v>414</v>
      </c>
      <c r="B361" s="1">
        <v>46042</v>
      </c>
      <c r="C361" t="s">
        <v>12</v>
      </c>
      <c r="D361" t="s">
        <v>23</v>
      </c>
      <c r="E361" t="s">
        <v>39</v>
      </c>
      <c r="F361" t="s">
        <v>19</v>
      </c>
      <c r="G361" t="s">
        <v>79</v>
      </c>
      <c r="H361" s="5">
        <v>6</v>
      </c>
      <c r="I361" s="3">
        <v>49728</v>
      </c>
      <c r="J361" s="10">
        <v>0</v>
      </c>
      <c r="K361" s="2">
        <v>298368</v>
      </c>
      <c r="L361" s="2">
        <f>Raw_Sales_Data3[[#This Row],[Quantity]]*Raw_Sales_Data3[[#This Row],[Unit Price]]*(Raw_Sales_Data3[[#This Row],[Discount %]]/100)</f>
        <v>0</v>
      </c>
      <c r="M361" t="str">
        <f>IF(COUNTIF(Raw_Sales_Data3[Order ID],Raw_Sales_Data3[[#This Row],[Order ID]])&gt;1,"Duplicate Order ID","Unique Order ID")</f>
        <v>Unique Order ID</v>
      </c>
    </row>
    <row r="362" spans="1:13" x14ac:dyDescent="0.3">
      <c r="A362" t="s">
        <v>415</v>
      </c>
      <c r="B362" s="1">
        <v>46092</v>
      </c>
      <c r="C362" t="s">
        <v>89</v>
      </c>
      <c r="D362" t="s">
        <v>23</v>
      </c>
      <c r="E362" t="s">
        <v>39</v>
      </c>
      <c r="F362" t="s">
        <v>24</v>
      </c>
      <c r="G362" t="s">
        <v>71</v>
      </c>
      <c r="H362" s="5">
        <v>6</v>
      </c>
      <c r="I362" s="3">
        <v>18266</v>
      </c>
      <c r="J362" s="10">
        <v>15</v>
      </c>
      <c r="K362" s="2">
        <v>93156.6</v>
      </c>
      <c r="L362" s="2">
        <f>Raw_Sales_Data3[[#This Row],[Quantity]]*Raw_Sales_Data3[[#This Row],[Unit Price]]*(Raw_Sales_Data3[[#This Row],[Discount %]]/100)</f>
        <v>16439.399999999998</v>
      </c>
      <c r="M362" t="str">
        <f>IF(COUNTIF(Raw_Sales_Data3[Order ID],Raw_Sales_Data3[[#This Row],[Order ID]])&gt;1,"Duplicate Order ID","Unique Order ID")</f>
        <v>Unique Order ID</v>
      </c>
    </row>
    <row r="363" spans="1:13" x14ac:dyDescent="0.3">
      <c r="A363" t="s">
        <v>416</v>
      </c>
      <c r="B363" s="1">
        <v>46055</v>
      </c>
      <c r="C363" t="s">
        <v>22</v>
      </c>
      <c r="D363" t="s">
        <v>70</v>
      </c>
      <c r="E363" t="s">
        <v>13</v>
      </c>
      <c r="F363" t="s">
        <v>19</v>
      </c>
      <c r="G363" t="s">
        <v>117</v>
      </c>
      <c r="H363" s="5">
        <v>11</v>
      </c>
      <c r="I363" s="3">
        <v>11717</v>
      </c>
      <c r="J363" s="10">
        <v>0</v>
      </c>
      <c r="K363" s="2">
        <v>122442.65</v>
      </c>
      <c r="L363" s="2">
        <f>Raw_Sales_Data3[[#This Row],[Quantity]]*Raw_Sales_Data3[[#This Row],[Unit Price]]*(Raw_Sales_Data3[[#This Row],[Discount %]]/100)</f>
        <v>0</v>
      </c>
      <c r="M363" t="str">
        <f>IF(COUNTIF(Raw_Sales_Data3[Order ID],Raw_Sales_Data3[[#This Row],[Order ID]])&gt;1,"Duplicate Order ID","Unique Order ID")</f>
        <v>Unique Order ID</v>
      </c>
    </row>
    <row r="364" spans="1:13" x14ac:dyDescent="0.3">
      <c r="A364" t="s">
        <v>417</v>
      </c>
      <c r="B364" s="1">
        <v>46103</v>
      </c>
      <c r="C364" t="s">
        <v>54</v>
      </c>
      <c r="D364" t="s">
        <v>43</v>
      </c>
      <c r="E364" t="s">
        <v>28</v>
      </c>
      <c r="F364" t="s">
        <v>19</v>
      </c>
      <c r="G364" t="s">
        <v>31</v>
      </c>
      <c r="H364" s="5">
        <v>3</v>
      </c>
      <c r="I364" s="3">
        <v>26841</v>
      </c>
      <c r="J364" s="10">
        <v>15</v>
      </c>
      <c r="K364" s="2">
        <v>68444.55</v>
      </c>
      <c r="L364" s="2">
        <f>Raw_Sales_Data3[[#This Row],[Quantity]]*Raw_Sales_Data3[[#This Row],[Unit Price]]*(Raw_Sales_Data3[[#This Row],[Discount %]]/100)</f>
        <v>12078.449999999999</v>
      </c>
      <c r="M364" t="str">
        <f>IF(COUNTIF(Raw_Sales_Data3[Order ID],Raw_Sales_Data3[[#This Row],[Order ID]])&gt;1,"Duplicate Order ID","Unique Order ID")</f>
        <v>Unique Order ID</v>
      </c>
    </row>
    <row r="365" spans="1:13" x14ac:dyDescent="0.3">
      <c r="A365" t="s">
        <v>418</v>
      </c>
      <c r="B365" s="1">
        <v>46073</v>
      </c>
      <c r="C365" t="s">
        <v>22</v>
      </c>
      <c r="D365" t="s">
        <v>23</v>
      </c>
      <c r="E365" t="s">
        <v>34</v>
      </c>
      <c r="F365" t="s">
        <v>24</v>
      </c>
      <c r="G365" t="s">
        <v>55</v>
      </c>
      <c r="H365" s="5">
        <v>1</v>
      </c>
      <c r="I365" s="3">
        <v>21565</v>
      </c>
      <c r="J365" s="10">
        <v>10</v>
      </c>
      <c r="K365" s="2">
        <v>19408.5</v>
      </c>
      <c r="L365" s="2">
        <f>Raw_Sales_Data3[[#This Row],[Quantity]]*Raw_Sales_Data3[[#This Row],[Unit Price]]*(Raw_Sales_Data3[[#This Row],[Discount %]]/100)</f>
        <v>2156.5</v>
      </c>
      <c r="M365" t="str">
        <f>IF(COUNTIF(Raw_Sales_Data3[Order ID],Raw_Sales_Data3[[#This Row],[Order ID]])&gt;1,"Duplicate Order ID","Unique Order ID")</f>
        <v>Unique Order ID</v>
      </c>
    </row>
    <row r="366" spans="1:13" x14ac:dyDescent="0.3">
      <c r="A366" t="s">
        <v>419</v>
      </c>
      <c r="B366" s="1">
        <v>46028</v>
      </c>
      <c r="C366" t="s">
        <v>36</v>
      </c>
      <c r="D366" t="s">
        <v>70</v>
      </c>
      <c r="E366" t="s">
        <v>18</v>
      </c>
      <c r="F366" t="s">
        <v>24</v>
      </c>
      <c r="G366" t="s">
        <v>53</v>
      </c>
      <c r="H366" s="5">
        <v>10</v>
      </c>
      <c r="I366" s="3">
        <v>21726</v>
      </c>
      <c r="J366" s="10">
        <v>5</v>
      </c>
      <c r="K366" s="2">
        <v>206397</v>
      </c>
      <c r="L366" s="2">
        <f>Raw_Sales_Data3[[#This Row],[Quantity]]*Raw_Sales_Data3[[#This Row],[Unit Price]]*(Raw_Sales_Data3[[#This Row],[Discount %]]/100)</f>
        <v>10863</v>
      </c>
      <c r="M366" t="str">
        <f>IF(COUNTIF(Raw_Sales_Data3[Order ID],Raw_Sales_Data3[[#This Row],[Order ID]])&gt;1,"Duplicate Order ID","Unique Order ID")</f>
        <v>Unique Order ID</v>
      </c>
    </row>
    <row r="367" spans="1:13" x14ac:dyDescent="0.3">
      <c r="A367" t="s">
        <v>420</v>
      </c>
      <c r="B367" s="1">
        <v>46101</v>
      </c>
      <c r="C367" t="s">
        <v>91</v>
      </c>
      <c r="D367" t="s">
        <v>23</v>
      </c>
      <c r="E367" t="s">
        <v>34</v>
      </c>
      <c r="F367" t="s">
        <v>24</v>
      </c>
      <c r="G367" t="s">
        <v>55</v>
      </c>
      <c r="H367" s="5">
        <v>1</v>
      </c>
      <c r="I367" s="3">
        <v>21565</v>
      </c>
      <c r="J367" s="10">
        <v>15</v>
      </c>
      <c r="K367" s="2">
        <v>18330.25</v>
      </c>
      <c r="L367" s="2">
        <v>3234.75</v>
      </c>
      <c r="M367" t="str">
        <f>IF(COUNTIF(Raw_Sales_Data3[Order ID],Raw_Sales_Data3[[#This Row],[Order ID]])&gt;1,"Duplicate Order ID","Unique Order ID")</f>
        <v>Duplicate Order ID</v>
      </c>
    </row>
    <row r="368" spans="1:13" x14ac:dyDescent="0.3">
      <c r="A368" t="s">
        <v>420</v>
      </c>
      <c r="B368" s="1">
        <v>46042</v>
      </c>
      <c r="C368" t="s">
        <v>91</v>
      </c>
      <c r="D368" t="s">
        <v>70</v>
      </c>
      <c r="E368" t="s">
        <v>18</v>
      </c>
      <c r="F368" t="s">
        <v>19</v>
      </c>
      <c r="G368" t="s">
        <v>31</v>
      </c>
      <c r="H368" s="5">
        <v>10</v>
      </c>
      <c r="I368" s="3">
        <v>40904</v>
      </c>
      <c r="J368" s="10">
        <v>15</v>
      </c>
      <c r="K368" s="2">
        <v>347684</v>
      </c>
      <c r="L368" s="2">
        <f>Raw_Sales_Data3[[#This Row],[Quantity]]*Raw_Sales_Data3[[#This Row],[Unit Price]]*(Raw_Sales_Data3[[#This Row],[Discount %]]/100)</f>
        <v>61356</v>
      </c>
      <c r="M368" t="str">
        <f>IF(COUNTIF(Raw_Sales_Data3[Order ID],Raw_Sales_Data3[[#This Row],[Order ID]])&gt;1,"Duplicate Order ID","Unique Order ID")</f>
        <v>Duplicate Order ID</v>
      </c>
    </row>
    <row r="369" spans="1:13" x14ac:dyDescent="0.3">
      <c r="A369" t="s">
        <v>421</v>
      </c>
      <c r="B369" s="1">
        <v>46108</v>
      </c>
      <c r="C369" t="s">
        <v>50</v>
      </c>
      <c r="D369" t="s">
        <v>70</v>
      </c>
      <c r="E369" t="s">
        <v>18</v>
      </c>
      <c r="F369" t="s">
        <v>19</v>
      </c>
      <c r="G369" t="s">
        <v>79</v>
      </c>
      <c r="H369" s="5">
        <v>7</v>
      </c>
      <c r="I369" s="3">
        <v>25882</v>
      </c>
      <c r="J369" s="10">
        <v>20</v>
      </c>
      <c r="K369" s="2">
        <v>144939.20000000001</v>
      </c>
      <c r="L369" s="2">
        <f>Raw_Sales_Data3[[#This Row],[Quantity]]*Raw_Sales_Data3[[#This Row],[Unit Price]]*(Raw_Sales_Data3[[#This Row],[Discount %]]/100)</f>
        <v>36234.800000000003</v>
      </c>
      <c r="M369" t="str">
        <f>IF(COUNTIF(Raw_Sales_Data3[Order ID],Raw_Sales_Data3[[#This Row],[Order ID]])&gt;1,"Duplicate Order ID","Unique Order ID")</f>
        <v>Unique Order ID</v>
      </c>
    </row>
    <row r="370" spans="1:13" x14ac:dyDescent="0.3">
      <c r="A370" t="s">
        <v>422</v>
      </c>
      <c r="B370" s="1"/>
      <c r="C370" t="s">
        <v>91</v>
      </c>
      <c r="D370" t="s">
        <v>58</v>
      </c>
      <c r="E370" t="s">
        <v>39</v>
      </c>
      <c r="F370" t="s">
        <v>24</v>
      </c>
      <c r="G370" t="s">
        <v>25</v>
      </c>
      <c r="H370" s="5">
        <v>14</v>
      </c>
      <c r="I370" s="3">
        <v>57395</v>
      </c>
      <c r="J370" s="10">
        <v>0</v>
      </c>
      <c r="K370" s="2">
        <v>803530</v>
      </c>
      <c r="L370" s="2">
        <f>Raw_Sales_Data3[[#This Row],[Quantity]]*Raw_Sales_Data3[[#This Row],[Unit Price]]*(Raw_Sales_Data3[[#This Row],[Discount %]]/100)</f>
        <v>0</v>
      </c>
      <c r="M370" t="str">
        <f>IF(COUNTIF(Raw_Sales_Data3[Order ID],Raw_Sales_Data3[[#This Row],[Order ID]])&gt;1,"Duplicate Order ID","Unique Order ID")</f>
        <v>Unique Order ID</v>
      </c>
    </row>
    <row r="371" spans="1:13" x14ac:dyDescent="0.3">
      <c r="A371" t="s">
        <v>423</v>
      </c>
      <c r="B371" s="1">
        <v>46081</v>
      </c>
      <c r="C371" t="s">
        <v>69</v>
      </c>
      <c r="D371" t="s">
        <v>70</v>
      </c>
      <c r="E371" t="s">
        <v>34</v>
      </c>
      <c r="F371" t="s">
        <v>19</v>
      </c>
      <c r="G371" t="s">
        <v>125</v>
      </c>
      <c r="H371" s="5">
        <v>5</v>
      </c>
      <c r="I371" s="3">
        <v>7013</v>
      </c>
      <c r="J371" s="10">
        <v>0</v>
      </c>
      <c r="K371" s="2">
        <v>35065</v>
      </c>
      <c r="L371" s="2">
        <f>Raw_Sales_Data3[[#This Row],[Quantity]]*Raw_Sales_Data3[[#This Row],[Unit Price]]*(Raw_Sales_Data3[[#This Row],[Discount %]]/100)</f>
        <v>0</v>
      </c>
      <c r="M371" t="str">
        <f>IF(COUNTIF(Raw_Sales_Data3[Order ID],Raw_Sales_Data3[[#This Row],[Order ID]])&gt;1,"Duplicate Order ID","Unique Order ID")</f>
        <v>Unique Order ID</v>
      </c>
    </row>
    <row r="372" spans="1:13" x14ac:dyDescent="0.3">
      <c r="A372" t="s">
        <v>424</v>
      </c>
      <c r="B372" s="1">
        <v>46032</v>
      </c>
      <c r="C372" t="s">
        <v>86</v>
      </c>
      <c r="D372" t="s">
        <v>58</v>
      </c>
      <c r="E372" t="s">
        <v>28</v>
      </c>
      <c r="F372" t="s">
        <v>24</v>
      </c>
      <c r="G372" t="s">
        <v>77</v>
      </c>
      <c r="H372" s="5">
        <v>2</v>
      </c>
      <c r="I372" s="3">
        <v>2963</v>
      </c>
      <c r="J372" s="10">
        <v>5</v>
      </c>
      <c r="K372" s="2">
        <v>5629.7</v>
      </c>
      <c r="L372" s="2">
        <f>Raw_Sales_Data3[[#This Row],[Quantity]]*Raw_Sales_Data3[[#This Row],[Unit Price]]*(Raw_Sales_Data3[[#This Row],[Discount %]]/100)</f>
        <v>296.3</v>
      </c>
      <c r="M372" t="str">
        <f>IF(COUNTIF(Raw_Sales_Data3[Order ID],Raw_Sales_Data3[[#This Row],[Order ID]])&gt;1,"Duplicate Order ID","Unique Order ID")</f>
        <v>Unique Order ID</v>
      </c>
    </row>
    <row r="373" spans="1:13" x14ac:dyDescent="0.3">
      <c r="A373" t="s">
        <v>425</v>
      </c>
      <c r="B373" s="1">
        <v>46024</v>
      </c>
      <c r="C373" t="s">
        <v>42</v>
      </c>
      <c r="D373" t="s">
        <v>70</v>
      </c>
      <c r="E373" t="s">
        <v>34</v>
      </c>
      <c r="F373" t="s">
        <v>19</v>
      </c>
      <c r="G373" t="s">
        <v>1038</v>
      </c>
      <c r="H373" s="5">
        <v>8</v>
      </c>
      <c r="I373" s="3">
        <v>32798</v>
      </c>
      <c r="J373" s="10">
        <v>10</v>
      </c>
      <c r="K373" s="2">
        <v>236145.6</v>
      </c>
      <c r="L373" s="2">
        <f>Raw_Sales_Data3[[#This Row],[Quantity]]*Raw_Sales_Data3[[#This Row],[Unit Price]]*(Raw_Sales_Data3[[#This Row],[Discount %]]/100)</f>
        <v>26238.400000000001</v>
      </c>
      <c r="M373" t="str">
        <f>IF(COUNTIF(Raw_Sales_Data3[Order ID],Raw_Sales_Data3[[#This Row],[Order ID]])&gt;1,"Duplicate Order ID","Unique Order ID")</f>
        <v>Unique Order ID</v>
      </c>
    </row>
    <row r="374" spans="1:13" x14ac:dyDescent="0.3">
      <c r="A374" t="s">
        <v>426</v>
      </c>
      <c r="B374" s="1">
        <v>46084</v>
      </c>
      <c r="C374" t="s">
        <v>64</v>
      </c>
      <c r="D374" t="s">
        <v>58</v>
      </c>
      <c r="E374" t="s">
        <v>28</v>
      </c>
      <c r="F374" t="s">
        <v>14</v>
      </c>
      <c r="G374" t="s">
        <v>66</v>
      </c>
      <c r="H374" s="5">
        <v>2</v>
      </c>
      <c r="I374" s="3">
        <v>35129</v>
      </c>
      <c r="J374" s="10">
        <v>0</v>
      </c>
      <c r="K374" s="2">
        <v>70258</v>
      </c>
      <c r="L374" s="2">
        <f>Raw_Sales_Data3[[#This Row],[Quantity]]*Raw_Sales_Data3[[#This Row],[Unit Price]]*(Raw_Sales_Data3[[#This Row],[Discount %]]/100)</f>
        <v>0</v>
      </c>
      <c r="M374" t="str">
        <f>IF(COUNTIF(Raw_Sales_Data3[Order ID],Raw_Sales_Data3[[#This Row],[Order ID]])&gt;1,"Duplicate Order ID","Unique Order ID")</f>
        <v>Unique Order ID</v>
      </c>
    </row>
    <row r="375" spans="1:13" x14ac:dyDescent="0.3">
      <c r="A375" t="s">
        <v>427</v>
      </c>
      <c r="B375" s="1">
        <v>46105</v>
      </c>
      <c r="C375" t="s">
        <v>69</v>
      </c>
      <c r="D375" t="s">
        <v>43</v>
      </c>
      <c r="E375" t="s">
        <v>13</v>
      </c>
      <c r="F375" t="s">
        <v>14</v>
      </c>
      <c r="G375" t="s">
        <v>103</v>
      </c>
      <c r="H375" s="5">
        <v>6</v>
      </c>
      <c r="I375" s="3">
        <v>37687</v>
      </c>
      <c r="J375" s="10">
        <v>5</v>
      </c>
      <c r="K375" s="2">
        <v>214815.9</v>
      </c>
      <c r="L375" s="2">
        <f>Raw_Sales_Data3[[#This Row],[Quantity]]*Raw_Sales_Data3[[#This Row],[Unit Price]]*(Raw_Sales_Data3[[#This Row],[Discount %]]/100)</f>
        <v>11306.1</v>
      </c>
      <c r="M375" t="str">
        <f>IF(COUNTIF(Raw_Sales_Data3[Order ID],Raw_Sales_Data3[[#This Row],[Order ID]])&gt;1,"Duplicate Order ID","Unique Order ID")</f>
        <v>Unique Order ID</v>
      </c>
    </row>
    <row r="376" spans="1:13" x14ac:dyDescent="0.3">
      <c r="A376" t="s">
        <v>428</v>
      </c>
      <c r="B376" s="1">
        <v>46105</v>
      </c>
      <c r="C376" t="s">
        <v>36</v>
      </c>
      <c r="D376" t="s">
        <v>58</v>
      </c>
      <c r="E376" t="s">
        <v>34</v>
      </c>
      <c r="F376" t="s">
        <v>19</v>
      </c>
      <c r="G376" t="s">
        <v>20</v>
      </c>
      <c r="H376" s="5">
        <v>9</v>
      </c>
      <c r="I376" s="3">
        <v>47648</v>
      </c>
      <c r="J376" s="10">
        <v>10</v>
      </c>
      <c r="K376" s="2">
        <v>385948.8</v>
      </c>
      <c r="L376" s="2">
        <f>Raw_Sales_Data3[[#This Row],[Quantity]]*Raw_Sales_Data3[[#This Row],[Unit Price]]*(Raw_Sales_Data3[[#This Row],[Discount %]]/100)</f>
        <v>42883.200000000004</v>
      </c>
      <c r="M376" t="str">
        <f>IF(COUNTIF(Raw_Sales_Data3[Order ID],Raw_Sales_Data3[[#This Row],[Order ID]])&gt;1,"Duplicate Order ID","Unique Order ID")</f>
        <v>Unique Order ID</v>
      </c>
    </row>
    <row r="377" spans="1:13" x14ac:dyDescent="0.3">
      <c r="A377" t="s">
        <v>429</v>
      </c>
      <c r="B377" s="1">
        <v>46031</v>
      </c>
      <c r="C377" t="s">
        <v>54</v>
      </c>
      <c r="D377" t="s">
        <v>58</v>
      </c>
      <c r="E377" t="s">
        <v>28</v>
      </c>
      <c r="F377" t="s">
        <v>14</v>
      </c>
      <c r="G377" t="s">
        <v>15</v>
      </c>
      <c r="H377" s="5">
        <v>6</v>
      </c>
      <c r="I377" s="3">
        <v>15942</v>
      </c>
      <c r="J377" s="10">
        <v>0</v>
      </c>
      <c r="K377" s="2">
        <v>95652</v>
      </c>
      <c r="L377" s="2">
        <f>Raw_Sales_Data3[[#This Row],[Quantity]]*Raw_Sales_Data3[[#This Row],[Unit Price]]*(Raw_Sales_Data3[[#This Row],[Discount %]]/100)</f>
        <v>0</v>
      </c>
      <c r="M377" t="str">
        <f>IF(COUNTIF(Raw_Sales_Data3[Order ID],Raw_Sales_Data3[[#This Row],[Order ID]])&gt;1,"Duplicate Order ID","Unique Order ID")</f>
        <v>Unique Order ID</v>
      </c>
    </row>
    <row r="378" spans="1:13" x14ac:dyDescent="0.3">
      <c r="A378" t="s">
        <v>430</v>
      </c>
      <c r="B378" s="1">
        <v>46090</v>
      </c>
      <c r="C378" t="s">
        <v>45</v>
      </c>
      <c r="D378" t="s">
        <v>70</v>
      </c>
      <c r="E378" t="s">
        <v>13</v>
      </c>
      <c r="F378" t="s">
        <v>19</v>
      </c>
      <c r="G378" t="s">
        <v>117</v>
      </c>
      <c r="H378" s="5">
        <v>1</v>
      </c>
      <c r="I378" s="3">
        <v>18336</v>
      </c>
      <c r="J378" s="10">
        <v>20</v>
      </c>
      <c r="K378" s="2">
        <v>14668.8</v>
      </c>
      <c r="L378" s="2">
        <f>Raw_Sales_Data3[[#This Row],[Quantity]]*Raw_Sales_Data3[[#This Row],[Unit Price]]*(Raw_Sales_Data3[[#This Row],[Discount %]]/100)</f>
        <v>3667.2000000000003</v>
      </c>
      <c r="M378" t="str">
        <f>IF(COUNTIF(Raw_Sales_Data3[Order ID],Raw_Sales_Data3[[#This Row],[Order ID]])&gt;1,"Duplicate Order ID","Unique Order ID")</f>
        <v>Unique Order ID</v>
      </c>
    </row>
    <row r="379" spans="1:13" x14ac:dyDescent="0.3">
      <c r="A379" t="s">
        <v>431</v>
      </c>
      <c r="B379" s="1">
        <v>46078</v>
      </c>
      <c r="C379" t="s">
        <v>69</v>
      </c>
      <c r="D379" t="s">
        <v>58</v>
      </c>
      <c r="E379" t="s">
        <v>39</v>
      </c>
      <c r="F379" t="s">
        <v>24</v>
      </c>
      <c r="G379" t="s">
        <v>53</v>
      </c>
      <c r="H379" s="5">
        <v>12</v>
      </c>
      <c r="I379" s="3">
        <v>56777</v>
      </c>
      <c r="J379" s="10">
        <v>0</v>
      </c>
      <c r="K379" s="2">
        <v>681324</v>
      </c>
      <c r="L379" s="2">
        <f>Raw_Sales_Data3[[#This Row],[Quantity]]*Raw_Sales_Data3[[#This Row],[Unit Price]]*(Raw_Sales_Data3[[#This Row],[Discount %]]/100)</f>
        <v>0</v>
      </c>
      <c r="M379" t="str">
        <f>IF(COUNTIF(Raw_Sales_Data3[Order ID],Raw_Sales_Data3[[#This Row],[Order ID]])&gt;1,"Duplicate Order ID","Unique Order ID")</f>
        <v>Unique Order ID</v>
      </c>
    </row>
    <row r="380" spans="1:13" x14ac:dyDescent="0.3">
      <c r="A380" t="s">
        <v>432</v>
      </c>
      <c r="B380" s="1"/>
      <c r="C380" t="s">
        <v>123</v>
      </c>
      <c r="D380" t="s">
        <v>70</v>
      </c>
      <c r="E380" t="s">
        <v>39</v>
      </c>
      <c r="F380" t="s">
        <v>24</v>
      </c>
      <c r="G380" t="s">
        <v>25</v>
      </c>
      <c r="H380" s="5">
        <v>14</v>
      </c>
      <c r="I380" s="3">
        <v>59833</v>
      </c>
      <c r="J380" s="10">
        <v>15</v>
      </c>
      <c r="K380" s="2">
        <v>712012.7</v>
      </c>
      <c r="L380" s="2">
        <f>Raw_Sales_Data3[[#This Row],[Quantity]]*Raw_Sales_Data3[[#This Row],[Unit Price]]*(Raw_Sales_Data3[[#This Row],[Discount %]]/100)</f>
        <v>125649.29999999999</v>
      </c>
      <c r="M380" t="str">
        <f>IF(COUNTIF(Raw_Sales_Data3[Order ID],Raw_Sales_Data3[[#This Row],[Order ID]])&gt;1,"Duplicate Order ID","Unique Order ID")</f>
        <v>Unique Order ID</v>
      </c>
    </row>
    <row r="381" spans="1:13" x14ac:dyDescent="0.3">
      <c r="A381" t="s">
        <v>433</v>
      </c>
      <c r="B381" s="1">
        <v>46108</v>
      </c>
      <c r="C381" t="s">
        <v>12</v>
      </c>
      <c r="D381" t="s">
        <v>70</v>
      </c>
      <c r="E381" t="s">
        <v>18</v>
      </c>
      <c r="F381" t="s">
        <v>19</v>
      </c>
      <c r="G381" t="s">
        <v>79</v>
      </c>
      <c r="H381" s="5">
        <v>7</v>
      </c>
      <c r="I381" s="3">
        <v>58425</v>
      </c>
      <c r="J381" s="10">
        <v>0</v>
      </c>
      <c r="K381" s="2">
        <v>408975</v>
      </c>
      <c r="L381" s="2">
        <f>Raw_Sales_Data3[[#This Row],[Quantity]]*Raw_Sales_Data3[[#This Row],[Unit Price]]*(Raw_Sales_Data3[[#This Row],[Discount %]]/100)</f>
        <v>0</v>
      </c>
      <c r="M381" t="str">
        <f>IF(COUNTIF(Raw_Sales_Data3[Order ID],Raw_Sales_Data3[[#This Row],[Order ID]])&gt;1,"Duplicate Order ID","Unique Order ID")</f>
        <v>Unique Order ID</v>
      </c>
    </row>
    <row r="382" spans="1:13" x14ac:dyDescent="0.3">
      <c r="A382" t="s">
        <v>434</v>
      </c>
      <c r="B382" s="1">
        <v>46042</v>
      </c>
      <c r="C382" t="s">
        <v>17</v>
      </c>
      <c r="D382" t="s">
        <v>43</v>
      </c>
      <c r="E382" t="s">
        <v>18</v>
      </c>
      <c r="F382" t="s">
        <v>14</v>
      </c>
      <c r="G382" t="s">
        <v>51</v>
      </c>
      <c r="H382" s="5">
        <v>1</v>
      </c>
      <c r="I382" s="3">
        <v>45774</v>
      </c>
      <c r="J382" s="10">
        <v>0</v>
      </c>
      <c r="K382" s="2">
        <v>45774</v>
      </c>
      <c r="L382" s="2">
        <f>Raw_Sales_Data3[[#This Row],[Quantity]]*Raw_Sales_Data3[[#This Row],[Unit Price]]*(Raw_Sales_Data3[[#This Row],[Discount %]]/100)</f>
        <v>0</v>
      </c>
      <c r="M382" t="str">
        <f>IF(COUNTIF(Raw_Sales_Data3[Order ID],Raw_Sales_Data3[[#This Row],[Order ID]])&gt;1,"Duplicate Order ID","Unique Order ID")</f>
        <v>Unique Order ID</v>
      </c>
    </row>
    <row r="383" spans="1:13" x14ac:dyDescent="0.3">
      <c r="A383" t="s">
        <v>435</v>
      </c>
      <c r="B383" s="1">
        <v>46028</v>
      </c>
      <c r="C383" t="s">
        <v>89</v>
      </c>
      <c r="D383" t="s">
        <v>58</v>
      </c>
      <c r="E383" t="s">
        <v>18</v>
      </c>
      <c r="F383" t="s">
        <v>19</v>
      </c>
      <c r="G383" t="s">
        <v>40</v>
      </c>
      <c r="H383" s="5">
        <v>7</v>
      </c>
      <c r="I383" s="3">
        <v>32696</v>
      </c>
      <c r="J383" s="10">
        <v>10</v>
      </c>
      <c r="K383" s="2">
        <v>205984.8</v>
      </c>
      <c r="L383" s="2">
        <f>Raw_Sales_Data3[[#This Row],[Quantity]]*Raw_Sales_Data3[[#This Row],[Unit Price]]*(Raw_Sales_Data3[[#This Row],[Discount %]]/100)</f>
        <v>22887.200000000001</v>
      </c>
      <c r="M383" t="str">
        <f>IF(COUNTIF(Raw_Sales_Data3[Order ID],Raw_Sales_Data3[[#This Row],[Order ID]])&gt;1,"Duplicate Order ID","Unique Order ID")</f>
        <v>Unique Order ID</v>
      </c>
    </row>
    <row r="384" spans="1:13" x14ac:dyDescent="0.3">
      <c r="A384" t="s">
        <v>436</v>
      </c>
      <c r="B384" s="1">
        <v>46090</v>
      </c>
      <c r="C384" t="s">
        <v>54</v>
      </c>
      <c r="D384" t="s">
        <v>43</v>
      </c>
      <c r="E384" t="s">
        <v>39</v>
      </c>
      <c r="F384" t="s">
        <v>24</v>
      </c>
      <c r="G384" t="s">
        <v>29</v>
      </c>
      <c r="H384" s="5">
        <v>12</v>
      </c>
      <c r="I384" s="3">
        <v>5314</v>
      </c>
      <c r="J384" s="10">
        <v>0</v>
      </c>
      <c r="K384" s="2">
        <v>63768</v>
      </c>
      <c r="L384" s="2">
        <f>Raw_Sales_Data3[[#This Row],[Quantity]]*Raw_Sales_Data3[[#This Row],[Unit Price]]*(Raw_Sales_Data3[[#This Row],[Discount %]]/100)</f>
        <v>0</v>
      </c>
      <c r="M384" t="str">
        <f>IF(COUNTIF(Raw_Sales_Data3[Order ID],Raw_Sales_Data3[[#This Row],[Order ID]])&gt;1,"Duplicate Order ID","Unique Order ID")</f>
        <v>Duplicate Order ID</v>
      </c>
    </row>
    <row r="385" spans="1:13" x14ac:dyDescent="0.3">
      <c r="A385" t="s">
        <v>436</v>
      </c>
      <c r="B385" s="1">
        <v>46038</v>
      </c>
      <c r="C385" t="s">
        <v>89</v>
      </c>
      <c r="D385" t="s">
        <v>58</v>
      </c>
      <c r="E385" t="s">
        <v>34</v>
      </c>
      <c r="F385" t="s">
        <v>14</v>
      </c>
      <c r="G385" t="s">
        <v>15</v>
      </c>
      <c r="H385" s="5">
        <v>9</v>
      </c>
      <c r="I385" s="3">
        <v>37400</v>
      </c>
      <c r="J385" s="10">
        <v>15</v>
      </c>
      <c r="K385" s="2">
        <v>286110</v>
      </c>
      <c r="L385" s="2">
        <f>Raw_Sales_Data3[[#This Row],[Quantity]]*Raw_Sales_Data3[[#This Row],[Unit Price]]*(Raw_Sales_Data3[[#This Row],[Discount %]]/100)</f>
        <v>50490</v>
      </c>
      <c r="M385" t="str">
        <f>IF(COUNTIF(Raw_Sales_Data3[Order ID],Raw_Sales_Data3[[#This Row],[Order ID]])&gt;1,"Duplicate Order ID","Unique Order ID")</f>
        <v>Duplicate Order ID</v>
      </c>
    </row>
    <row r="386" spans="1:13" x14ac:dyDescent="0.3">
      <c r="A386" t="s">
        <v>437</v>
      </c>
      <c r="B386" s="1">
        <v>46028</v>
      </c>
      <c r="C386" t="s">
        <v>54</v>
      </c>
      <c r="D386" t="s">
        <v>70</v>
      </c>
      <c r="E386" t="s">
        <v>18</v>
      </c>
      <c r="F386" t="s">
        <v>14</v>
      </c>
      <c r="G386" t="s">
        <v>103</v>
      </c>
      <c r="H386" s="5">
        <v>9</v>
      </c>
      <c r="I386" s="3">
        <v>47975</v>
      </c>
      <c r="J386" s="10">
        <v>5</v>
      </c>
      <c r="K386" s="2">
        <v>410186.25</v>
      </c>
      <c r="L386" s="2">
        <f>Raw_Sales_Data3[[#This Row],[Quantity]]*Raw_Sales_Data3[[#This Row],[Unit Price]]*(Raw_Sales_Data3[[#This Row],[Discount %]]/100)</f>
        <v>21588.75</v>
      </c>
      <c r="M386" t="str">
        <f>IF(COUNTIF(Raw_Sales_Data3[Order ID],Raw_Sales_Data3[[#This Row],[Order ID]])&gt;1,"Duplicate Order ID","Unique Order ID")</f>
        <v>Unique Order ID</v>
      </c>
    </row>
    <row r="387" spans="1:13" x14ac:dyDescent="0.3">
      <c r="A387" t="s">
        <v>438</v>
      </c>
      <c r="B387" s="1">
        <v>46051</v>
      </c>
      <c r="C387" t="s">
        <v>22</v>
      </c>
      <c r="D387" t="s">
        <v>23</v>
      </c>
      <c r="E387" t="s">
        <v>28</v>
      </c>
      <c r="F387" t="s">
        <v>24</v>
      </c>
      <c r="G387" t="s">
        <v>71</v>
      </c>
      <c r="H387" s="5">
        <v>2</v>
      </c>
      <c r="I387" s="3">
        <v>16621</v>
      </c>
      <c r="J387" s="10">
        <v>0</v>
      </c>
      <c r="K387" s="2">
        <v>33242</v>
      </c>
      <c r="L387" s="2">
        <f>Raw_Sales_Data3[[#This Row],[Quantity]]*Raw_Sales_Data3[[#This Row],[Unit Price]]*(Raw_Sales_Data3[[#This Row],[Discount %]]/100)</f>
        <v>0</v>
      </c>
      <c r="M387" t="str">
        <f>IF(COUNTIF(Raw_Sales_Data3[Order ID],Raw_Sales_Data3[[#This Row],[Order ID]])&gt;1,"Duplicate Order ID","Unique Order ID")</f>
        <v>Unique Order ID</v>
      </c>
    </row>
    <row r="388" spans="1:13" x14ac:dyDescent="0.3">
      <c r="A388" t="s">
        <v>439</v>
      </c>
      <c r="B388" s="1">
        <v>46047</v>
      </c>
      <c r="C388" t="s">
        <v>17</v>
      </c>
      <c r="D388" t="s">
        <v>58</v>
      </c>
      <c r="E388" t="s">
        <v>39</v>
      </c>
      <c r="F388" t="s">
        <v>24</v>
      </c>
      <c r="G388" t="s">
        <v>53</v>
      </c>
      <c r="H388" s="5">
        <v>3</v>
      </c>
      <c r="I388" s="3">
        <v>20898</v>
      </c>
      <c r="J388" s="10">
        <v>15</v>
      </c>
      <c r="K388" s="2">
        <v>53289.9</v>
      </c>
      <c r="L388" s="2">
        <f>Raw_Sales_Data3[[#This Row],[Quantity]]*Raw_Sales_Data3[[#This Row],[Unit Price]]*(Raw_Sales_Data3[[#This Row],[Discount %]]/100)</f>
        <v>9404.1</v>
      </c>
      <c r="M388" t="str">
        <f>IF(COUNTIF(Raw_Sales_Data3[Order ID],Raw_Sales_Data3[[#This Row],[Order ID]])&gt;1,"Duplicate Order ID","Unique Order ID")</f>
        <v>Unique Order ID</v>
      </c>
    </row>
    <row r="389" spans="1:13" x14ac:dyDescent="0.3">
      <c r="A389" t="s">
        <v>440</v>
      </c>
      <c r="B389" s="1">
        <v>46082</v>
      </c>
      <c r="C389" t="s">
        <v>89</v>
      </c>
      <c r="D389" t="s">
        <v>70</v>
      </c>
      <c r="E389" t="s">
        <v>18</v>
      </c>
      <c r="F389" t="s">
        <v>24</v>
      </c>
      <c r="G389" t="s">
        <v>55</v>
      </c>
      <c r="H389" s="5">
        <v>2</v>
      </c>
      <c r="I389" s="3">
        <v>58791</v>
      </c>
      <c r="J389" s="10">
        <v>0</v>
      </c>
      <c r="K389" s="2">
        <v>117582</v>
      </c>
      <c r="L389" s="2">
        <f>Raw_Sales_Data3[[#This Row],[Quantity]]*Raw_Sales_Data3[[#This Row],[Unit Price]]*(Raw_Sales_Data3[[#This Row],[Discount %]]/100)</f>
        <v>0</v>
      </c>
      <c r="M389" t="str">
        <f>IF(COUNTIF(Raw_Sales_Data3[Order ID],Raw_Sales_Data3[[#This Row],[Order ID]])&gt;1,"Duplicate Order ID","Unique Order ID")</f>
        <v>Unique Order ID</v>
      </c>
    </row>
    <row r="390" spans="1:13" x14ac:dyDescent="0.3">
      <c r="A390" t="s">
        <v>441</v>
      </c>
      <c r="B390" s="1">
        <v>46089</v>
      </c>
      <c r="C390" t="s">
        <v>22</v>
      </c>
      <c r="D390" t="s">
        <v>23</v>
      </c>
      <c r="E390" t="s">
        <v>18</v>
      </c>
      <c r="F390" t="s">
        <v>24</v>
      </c>
      <c r="G390" t="s">
        <v>53</v>
      </c>
      <c r="H390" s="5">
        <v>4</v>
      </c>
      <c r="I390" s="3">
        <v>51355</v>
      </c>
      <c r="J390" s="10">
        <v>0</v>
      </c>
      <c r="K390" s="2">
        <v>205420</v>
      </c>
      <c r="L390" s="2">
        <f>Raw_Sales_Data3[[#This Row],[Quantity]]*Raw_Sales_Data3[[#This Row],[Unit Price]]*(Raw_Sales_Data3[[#This Row],[Discount %]]/100)</f>
        <v>0</v>
      </c>
      <c r="M390" t="str">
        <f>IF(COUNTIF(Raw_Sales_Data3[Order ID],Raw_Sales_Data3[[#This Row],[Order ID]])&gt;1,"Duplicate Order ID","Unique Order ID")</f>
        <v>Unique Order ID</v>
      </c>
    </row>
    <row r="391" spans="1:13" x14ac:dyDescent="0.3">
      <c r="A391" t="s">
        <v>442</v>
      </c>
      <c r="B391" s="1">
        <v>46073</v>
      </c>
      <c r="C391" t="s">
        <v>123</v>
      </c>
      <c r="D391" t="s">
        <v>43</v>
      </c>
      <c r="E391" t="s">
        <v>18</v>
      </c>
      <c r="F391" t="s">
        <v>24</v>
      </c>
      <c r="G391" t="s">
        <v>55</v>
      </c>
      <c r="H391" s="5">
        <v>10</v>
      </c>
      <c r="I391" s="3">
        <f>K391/H391</f>
        <v>6038</v>
      </c>
      <c r="J391" s="10">
        <v>0</v>
      </c>
      <c r="K391" s="2">
        <v>60380</v>
      </c>
      <c r="L391" s="2">
        <f>Raw_Sales_Data3[[#This Row],[Quantity]]*Raw_Sales_Data3[[#This Row],[Unit Price]]*(Raw_Sales_Data3[[#This Row],[Discount %]]/100)</f>
        <v>0</v>
      </c>
      <c r="M391" t="str">
        <f>IF(COUNTIF(Raw_Sales_Data3[Order ID],Raw_Sales_Data3[[#This Row],[Order ID]])&gt;1,"Duplicate Order ID","Unique Order ID")</f>
        <v>Unique Order ID</v>
      </c>
    </row>
    <row r="392" spans="1:13" x14ac:dyDescent="0.3">
      <c r="A392" t="s">
        <v>443</v>
      </c>
      <c r="B392" s="1">
        <v>46085</v>
      </c>
      <c r="C392" t="s">
        <v>62</v>
      </c>
      <c r="D392" t="s">
        <v>58</v>
      </c>
      <c r="E392" t="s">
        <v>18</v>
      </c>
      <c r="F392" t="s">
        <v>19</v>
      </c>
      <c r="G392" t="s">
        <v>120</v>
      </c>
      <c r="H392" s="5">
        <v>6</v>
      </c>
      <c r="I392" s="3">
        <v>1932</v>
      </c>
      <c r="J392" s="10">
        <v>10</v>
      </c>
      <c r="K392" s="2">
        <v>10432.799999999999</v>
      </c>
      <c r="L392" s="2">
        <f>Raw_Sales_Data3[[#This Row],[Quantity]]*Raw_Sales_Data3[[#This Row],[Unit Price]]*(Raw_Sales_Data3[[#This Row],[Discount %]]/100)</f>
        <v>1159.2</v>
      </c>
      <c r="M392" t="str">
        <f>IF(COUNTIF(Raw_Sales_Data3[Order ID],Raw_Sales_Data3[[#This Row],[Order ID]])&gt;1,"Duplicate Order ID","Unique Order ID")</f>
        <v>Unique Order ID</v>
      </c>
    </row>
    <row r="393" spans="1:13" x14ac:dyDescent="0.3">
      <c r="A393" t="s">
        <v>444</v>
      </c>
      <c r="B393" s="1">
        <v>46109</v>
      </c>
      <c r="C393" t="s">
        <v>22</v>
      </c>
      <c r="D393" t="s">
        <v>23</v>
      </c>
      <c r="E393" t="s">
        <v>13</v>
      </c>
      <c r="F393" t="s">
        <v>14</v>
      </c>
      <c r="G393" t="s">
        <v>103</v>
      </c>
      <c r="H393" s="5">
        <v>5</v>
      </c>
      <c r="I393" s="3">
        <v>41360</v>
      </c>
      <c r="J393" s="10">
        <v>20</v>
      </c>
      <c r="K393" s="2">
        <v>165440</v>
      </c>
      <c r="L393" s="2">
        <f>Raw_Sales_Data3[[#This Row],[Quantity]]*Raw_Sales_Data3[[#This Row],[Unit Price]]*(Raw_Sales_Data3[[#This Row],[Discount %]]/100)</f>
        <v>41360</v>
      </c>
      <c r="M393" t="str">
        <f>IF(COUNTIF(Raw_Sales_Data3[Order ID],Raw_Sales_Data3[[#This Row],[Order ID]])&gt;1,"Duplicate Order ID","Unique Order ID")</f>
        <v>Unique Order ID</v>
      </c>
    </row>
    <row r="394" spans="1:13" x14ac:dyDescent="0.3">
      <c r="A394" t="s">
        <v>445</v>
      </c>
      <c r="B394" s="1">
        <v>46086</v>
      </c>
      <c r="C394" t="s">
        <v>62</v>
      </c>
      <c r="D394" t="s">
        <v>70</v>
      </c>
      <c r="E394" t="s">
        <v>18</v>
      </c>
      <c r="F394" t="s">
        <v>24</v>
      </c>
      <c r="G394" t="s">
        <v>25</v>
      </c>
      <c r="H394" s="5">
        <v>13</v>
      </c>
      <c r="I394" s="3">
        <v>9059</v>
      </c>
      <c r="J394" s="10">
        <v>0</v>
      </c>
      <c r="K394" s="2">
        <v>117767</v>
      </c>
      <c r="L394" s="2">
        <f>Raw_Sales_Data3[[#This Row],[Quantity]]*Raw_Sales_Data3[[#This Row],[Unit Price]]*(Raw_Sales_Data3[[#This Row],[Discount %]]/100)</f>
        <v>0</v>
      </c>
      <c r="M394" t="str">
        <f>IF(COUNTIF(Raw_Sales_Data3[Order ID],Raw_Sales_Data3[[#This Row],[Order ID]])&gt;1,"Duplicate Order ID","Unique Order ID")</f>
        <v>Unique Order ID</v>
      </c>
    </row>
    <row r="395" spans="1:13" x14ac:dyDescent="0.3">
      <c r="A395" t="s">
        <v>446</v>
      </c>
      <c r="B395" s="1">
        <v>46054</v>
      </c>
      <c r="C395" t="s">
        <v>48</v>
      </c>
      <c r="D395" t="s">
        <v>58</v>
      </c>
      <c r="E395" t="s">
        <v>18</v>
      </c>
      <c r="F395" t="s">
        <v>19</v>
      </c>
      <c r="G395" t="s">
        <v>59</v>
      </c>
      <c r="H395" s="5">
        <v>10</v>
      </c>
      <c r="I395" s="3">
        <v>21852</v>
      </c>
      <c r="J395" s="10">
        <v>20</v>
      </c>
      <c r="K395" s="2">
        <v>174816</v>
      </c>
      <c r="L395" s="2">
        <f>Raw_Sales_Data3[[#This Row],[Quantity]]*Raw_Sales_Data3[[#This Row],[Unit Price]]*(Raw_Sales_Data3[[#This Row],[Discount %]]/100)</f>
        <v>43704</v>
      </c>
      <c r="M395" t="str">
        <f>IF(COUNTIF(Raw_Sales_Data3[Order ID],Raw_Sales_Data3[[#This Row],[Order ID]])&gt;1,"Duplicate Order ID","Unique Order ID")</f>
        <v>Unique Order ID</v>
      </c>
    </row>
    <row r="396" spans="1:13" x14ac:dyDescent="0.3">
      <c r="A396" t="s">
        <v>447</v>
      </c>
      <c r="B396" s="1">
        <v>46102</v>
      </c>
      <c r="C396" t="s">
        <v>123</v>
      </c>
      <c r="D396" t="s">
        <v>58</v>
      </c>
      <c r="E396" t="s">
        <v>28</v>
      </c>
      <c r="F396" t="s">
        <v>19</v>
      </c>
      <c r="G396" t="s">
        <v>117</v>
      </c>
      <c r="H396" s="5">
        <v>1</v>
      </c>
      <c r="I396" s="3">
        <v>29799</v>
      </c>
      <c r="J396" s="10">
        <v>5</v>
      </c>
      <c r="K396" s="2">
        <v>28309.05</v>
      </c>
      <c r="L396" s="2">
        <f>Raw_Sales_Data3[[#This Row],[Quantity]]*Raw_Sales_Data3[[#This Row],[Unit Price]]*(Raw_Sales_Data3[[#This Row],[Discount %]]/100)</f>
        <v>1489.95</v>
      </c>
      <c r="M396" t="str">
        <f>IF(COUNTIF(Raw_Sales_Data3[Order ID],Raw_Sales_Data3[[#This Row],[Order ID]])&gt;1,"Duplicate Order ID","Unique Order ID")</f>
        <v>Unique Order ID</v>
      </c>
    </row>
    <row r="397" spans="1:13" x14ac:dyDescent="0.3">
      <c r="A397" t="s">
        <v>448</v>
      </c>
      <c r="B397" s="1">
        <v>46042</v>
      </c>
      <c r="C397" t="s">
        <v>38</v>
      </c>
      <c r="D397" t="s">
        <v>43</v>
      </c>
      <c r="E397" t="s">
        <v>13</v>
      </c>
      <c r="F397" t="s">
        <v>24</v>
      </c>
      <c r="G397" t="s">
        <v>29</v>
      </c>
      <c r="H397" s="5">
        <v>8</v>
      </c>
      <c r="I397" s="3">
        <v>29104</v>
      </c>
      <c r="J397" s="10">
        <v>0</v>
      </c>
      <c r="K397" s="2">
        <v>232832</v>
      </c>
      <c r="L397" s="2">
        <f>Raw_Sales_Data3[[#This Row],[Quantity]]*Raw_Sales_Data3[[#This Row],[Unit Price]]*(Raw_Sales_Data3[[#This Row],[Discount %]]/100)</f>
        <v>0</v>
      </c>
      <c r="M397" t="str">
        <f>IF(COUNTIF(Raw_Sales_Data3[Order ID],Raw_Sales_Data3[[#This Row],[Order ID]])&gt;1,"Duplicate Order ID","Unique Order ID")</f>
        <v>Unique Order ID</v>
      </c>
    </row>
    <row r="398" spans="1:13" x14ac:dyDescent="0.3">
      <c r="A398" t="s">
        <v>449</v>
      </c>
      <c r="B398" s="1">
        <v>46033</v>
      </c>
      <c r="C398" t="s">
        <v>69</v>
      </c>
      <c r="D398" t="s">
        <v>43</v>
      </c>
      <c r="E398" t="s">
        <v>13</v>
      </c>
      <c r="F398" t="s">
        <v>24</v>
      </c>
      <c r="G398" t="s">
        <v>77</v>
      </c>
      <c r="H398" s="5">
        <v>11</v>
      </c>
      <c r="I398" s="3">
        <v>26714</v>
      </c>
      <c r="J398" s="10">
        <v>15</v>
      </c>
      <c r="K398" s="2">
        <v>249775.9</v>
      </c>
      <c r="L398" s="2">
        <f>Raw_Sales_Data3[[#This Row],[Quantity]]*Raw_Sales_Data3[[#This Row],[Unit Price]]*(Raw_Sales_Data3[[#This Row],[Discount %]]/100)</f>
        <v>44078.1</v>
      </c>
      <c r="M398" t="str">
        <f>IF(COUNTIF(Raw_Sales_Data3[Order ID],Raw_Sales_Data3[[#This Row],[Order ID]])&gt;1,"Duplicate Order ID","Unique Order ID")</f>
        <v>Unique Order ID</v>
      </c>
    </row>
    <row r="399" spans="1:13" x14ac:dyDescent="0.3">
      <c r="A399" t="s">
        <v>450</v>
      </c>
      <c r="B399" s="1"/>
      <c r="C399" t="s">
        <v>89</v>
      </c>
      <c r="D399" t="s">
        <v>58</v>
      </c>
      <c r="E399" t="s">
        <v>39</v>
      </c>
      <c r="F399" t="s">
        <v>24</v>
      </c>
      <c r="G399" t="s">
        <v>71</v>
      </c>
      <c r="H399" s="5">
        <v>12</v>
      </c>
      <c r="I399" s="3">
        <v>29136</v>
      </c>
      <c r="J399" s="10">
        <v>10</v>
      </c>
      <c r="K399" s="2">
        <v>314668.79999999999</v>
      </c>
      <c r="L399" s="2">
        <f>Raw_Sales_Data3[[#This Row],[Quantity]]*Raw_Sales_Data3[[#This Row],[Unit Price]]*(Raw_Sales_Data3[[#This Row],[Discount %]]/100)</f>
        <v>34963.200000000004</v>
      </c>
      <c r="M399" t="str">
        <f>IF(COUNTIF(Raw_Sales_Data3[Order ID],Raw_Sales_Data3[[#This Row],[Order ID]])&gt;1,"Duplicate Order ID","Unique Order ID")</f>
        <v>Unique Order ID</v>
      </c>
    </row>
    <row r="400" spans="1:13" x14ac:dyDescent="0.3">
      <c r="A400" t="s">
        <v>451</v>
      </c>
      <c r="B400" s="1">
        <v>46078</v>
      </c>
      <c r="C400" t="s">
        <v>42</v>
      </c>
      <c r="D400" t="s">
        <v>23</v>
      </c>
      <c r="E400" t="s">
        <v>39</v>
      </c>
      <c r="F400" t="s">
        <v>19</v>
      </c>
      <c r="G400" t="s">
        <v>59</v>
      </c>
      <c r="H400" s="5">
        <v>10</v>
      </c>
      <c r="I400" s="3">
        <v>39883</v>
      </c>
      <c r="J400" s="10">
        <v>10</v>
      </c>
      <c r="K400" s="2">
        <v>358947</v>
      </c>
      <c r="L400" s="2">
        <f>Raw_Sales_Data3[[#This Row],[Quantity]]*Raw_Sales_Data3[[#This Row],[Unit Price]]*(Raw_Sales_Data3[[#This Row],[Discount %]]/100)</f>
        <v>39883</v>
      </c>
      <c r="M400" t="str">
        <f>IF(COUNTIF(Raw_Sales_Data3[Order ID],Raw_Sales_Data3[[#This Row],[Order ID]])&gt;1,"Duplicate Order ID","Unique Order ID")</f>
        <v>Unique Order ID</v>
      </c>
    </row>
    <row r="401" spans="1:13" x14ac:dyDescent="0.3">
      <c r="A401" t="s">
        <v>452</v>
      </c>
      <c r="B401" s="1">
        <v>46053</v>
      </c>
      <c r="C401" t="s">
        <v>54</v>
      </c>
      <c r="D401" t="s">
        <v>23</v>
      </c>
      <c r="E401" t="s">
        <v>13</v>
      </c>
      <c r="F401" t="s">
        <v>24</v>
      </c>
      <c r="G401" t="s">
        <v>29</v>
      </c>
      <c r="H401" s="5">
        <v>3</v>
      </c>
      <c r="I401" s="3">
        <v>54302</v>
      </c>
      <c r="J401" s="10">
        <v>10</v>
      </c>
      <c r="K401" s="2">
        <v>146615.4</v>
      </c>
      <c r="L401" s="2">
        <f>Raw_Sales_Data3[[#This Row],[Quantity]]*Raw_Sales_Data3[[#This Row],[Unit Price]]*(Raw_Sales_Data3[[#This Row],[Discount %]]/100)</f>
        <v>16290.6</v>
      </c>
      <c r="M401" t="str">
        <f>IF(COUNTIF(Raw_Sales_Data3[Order ID],Raw_Sales_Data3[[#This Row],[Order ID]])&gt;1,"Duplicate Order ID","Unique Order ID")</f>
        <v>Unique Order ID</v>
      </c>
    </row>
    <row r="402" spans="1:13" x14ac:dyDescent="0.3">
      <c r="A402" t="s">
        <v>453</v>
      </c>
      <c r="B402" s="1">
        <v>46032</v>
      </c>
      <c r="C402" t="s">
        <v>91</v>
      </c>
      <c r="D402" t="s">
        <v>58</v>
      </c>
      <c r="E402" t="s">
        <v>18</v>
      </c>
      <c r="F402" t="s">
        <v>14</v>
      </c>
      <c r="G402" t="s">
        <v>66</v>
      </c>
      <c r="H402" s="5">
        <v>9</v>
      </c>
      <c r="I402" s="3">
        <v>7568</v>
      </c>
      <c r="J402" s="10">
        <v>15</v>
      </c>
      <c r="K402" s="2">
        <v>57895.199999999997</v>
      </c>
      <c r="L402" s="2">
        <f>Raw_Sales_Data3[[#This Row],[Quantity]]*Raw_Sales_Data3[[#This Row],[Unit Price]]*(Raw_Sales_Data3[[#This Row],[Discount %]]/100)</f>
        <v>10216.799999999999</v>
      </c>
      <c r="M402" t="str">
        <f>IF(COUNTIF(Raw_Sales_Data3[Order ID],Raw_Sales_Data3[[#This Row],[Order ID]])&gt;1,"Duplicate Order ID","Unique Order ID")</f>
        <v>Unique Order ID</v>
      </c>
    </row>
    <row r="403" spans="1:13" x14ac:dyDescent="0.3">
      <c r="A403" t="s">
        <v>454</v>
      </c>
      <c r="B403" s="1">
        <v>46111</v>
      </c>
      <c r="C403" t="s">
        <v>36</v>
      </c>
      <c r="D403" t="s">
        <v>70</v>
      </c>
      <c r="E403" t="s">
        <v>34</v>
      </c>
      <c r="F403" t="s">
        <v>19</v>
      </c>
      <c r="G403" t="s">
        <v>40</v>
      </c>
      <c r="H403" s="5">
        <v>1</v>
      </c>
      <c r="I403" s="3">
        <v>24027</v>
      </c>
      <c r="J403" s="10">
        <v>0</v>
      </c>
      <c r="K403" s="2">
        <v>24027</v>
      </c>
      <c r="L403" s="2">
        <f>Raw_Sales_Data3[[#This Row],[Quantity]]*Raw_Sales_Data3[[#This Row],[Unit Price]]*(Raw_Sales_Data3[[#This Row],[Discount %]]/100)</f>
        <v>0</v>
      </c>
      <c r="M403" t="str">
        <f>IF(COUNTIF(Raw_Sales_Data3[Order ID],Raw_Sales_Data3[[#This Row],[Order ID]])&gt;1,"Duplicate Order ID","Unique Order ID")</f>
        <v>Unique Order ID</v>
      </c>
    </row>
    <row r="404" spans="1:13" x14ac:dyDescent="0.3">
      <c r="A404" t="s">
        <v>455</v>
      </c>
      <c r="B404" s="1">
        <v>46027</v>
      </c>
      <c r="C404" t="s">
        <v>17</v>
      </c>
      <c r="D404" t="s">
        <v>23</v>
      </c>
      <c r="E404" t="s">
        <v>18</v>
      </c>
      <c r="F404" t="s">
        <v>24</v>
      </c>
      <c r="G404" t="s">
        <v>53</v>
      </c>
      <c r="H404" s="5">
        <v>10</v>
      </c>
      <c r="I404" s="3">
        <v>52933</v>
      </c>
      <c r="J404" s="10">
        <v>10</v>
      </c>
      <c r="K404" s="2">
        <v>476397</v>
      </c>
      <c r="L404" s="2">
        <f>Raw_Sales_Data3[[#This Row],[Quantity]]*Raw_Sales_Data3[[#This Row],[Unit Price]]*(Raw_Sales_Data3[[#This Row],[Discount %]]/100)</f>
        <v>52933</v>
      </c>
      <c r="M404" t="str">
        <f>IF(COUNTIF(Raw_Sales_Data3[Order ID],Raw_Sales_Data3[[#This Row],[Order ID]])&gt;1,"Duplicate Order ID","Unique Order ID")</f>
        <v>Unique Order ID</v>
      </c>
    </row>
    <row r="405" spans="1:13" x14ac:dyDescent="0.3">
      <c r="A405" t="s">
        <v>456</v>
      </c>
      <c r="B405" s="1">
        <v>46035</v>
      </c>
      <c r="C405" t="s">
        <v>89</v>
      </c>
      <c r="D405" t="s">
        <v>43</v>
      </c>
      <c r="E405" t="s">
        <v>28</v>
      </c>
      <c r="F405" t="s">
        <v>14</v>
      </c>
      <c r="G405" t="s">
        <v>125</v>
      </c>
      <c r="H405" s="5">
        <v>2</v>
      </c>
      <c r="I405" s="3">
        <v>28228</v>
      </c>
      <c r="J405" s="10">
        <v>10</v>
      </c>
      <c r="K405" s="2">
        <v>50810.400000000001</v>
      </c>
      <c r="L405" s="2">
        <f>Raw_Sales_Data3[[#This Row],[Quantity]]*Raw_Sales_Data3[[#This Row],[Unit Price]]*(Raw_Sales_Data3[[#This Row],[Discount %]]/100)</f>
        <v>5645.6</v>
      </c>
      <c r="M405" t="str">
        <f>IF(COUNTIF(Raw_Sales_Data3[Order ID],Raw_Sales_Data3[[#This Row],[Order ID]])&gt;1,"Duplicate Order ID","Unique Order ID")</f>
        <v>Unique Order ID</v>
      </c>
    </row>
    <row r="406" spans="1:13" x14ac:dyDescent="0.3">
      <c r="A406" t="s">
        <v>457</v>
      </c>
      <c r="B406" s="1">
        <v>46034</v>
      </c>
      <c r="C406" t="s">
        <v>33</v>
      </c>
      <c r="D406" t="s">
        <v>70</v>
      </c>
      <c r="E406" t="s">
        <v>28</v>
      </c>
      <c r="F406" t="s">
        <v>14</v>
      </c>
      <c r="G406" t="s">
        <v>51</v>
      </c>
      <c r="H406" s="5">
        <v>3</v>
      </c>
      <c r="I406" s="3">
        <v>30076</v>
      </c>
      <c r="J406" s="10">
        <v>10</v>
      </c>
      <c r="K406" s="2">
        <v>81205.2</v>
      </c>
      <c r="L406" s="2">
        <f>Raw_Sales_Data3[[#This Row],[Quantity]]*Raw_Sales_Data3[[#This Row],[Unit Price]]*(Raw_Sales_Data3[[#This Row],[Discount %]]/100)</f>
        <v>9022.8000000000011</v>
      </c>
      <c r="M406" t="str">
        <f>IF(COUNTIF(Raw_Sales_Data3[Order ID],Raw_Sales_Data3[[#This Row],[Order ID]])&gt;1,"Duplicate Order ID","Unique Order ID")</f>
        <v>Unique Order ID</v>
      </c>
    </row>
    <row r="407" spans="1:13" x14ac:dyDescent="0.3">
      <c r="A407" t="s">
        <v>458</v>
      </c>
      <c r="B407" s="1">
        <v>46023</v>
      </c>
      <c r="C407" t="s">
        <v>91</v>
      </c>
      <c r="D407" t="s">
        <v>70</v>
      </c>
      <c r="E407" t="s">
        <v>39</v>
      </c>
      <c r="F407" t="s">
        <v>19</v>
      </c>
      <c r="G407" t="s">
        <v>147</v>
      </c>
      <c r="H407" s="5">
        <v>4</v>
      </c>
      <c r="I407" s="3">
        <v>52413</v>
      </c>
      <c r="J407" s="10">
        <v>15</v>
      </c>
      <c r="K407" s="2">
        <v>178204.2</v>
      </c>
      <c r="L407" s="2">
        <f>Raw_Sales_Data3[[#This Row],[Quantity]]*Raw_Sales_Data3[[#This Row],[Unit Price]]*(Raw_Sales_Data3[[#This Row],[Discount %]]/100)</f>
        <v>31447.8</v>
      </c>
      <c r="M407" t="str">
        <f>IF(COUNTIF(Raw_Sales_Data3[Order ID],Raw_Sales_Data3[[#This Row],[Order ID]])&gt;1,"Duplicate Order ID","Unique Order ID")</f>
        <v>Unique Order ID</v>
      </c>
    </row>
    <row r="408" spans="1:13" x14ac:dyDescent="0.3">
      <c r="A408" t="s">
        <v>459</v>
      </c>
      <c r="B408" s="1">
        <v>46059</v>
      </c>
      <c r="C408" t="s">
        <v>64</v>
      </c>
      <c r="D408" t="s">
        <v>70</v>
      </c>
      <c r="E408" t="s">
        <v>18</v>
      </c>
      <c r="F408" t="s">
        <v>24</v>
      </c>
      <c r="G408" t="s">
        <v>53</v>
      </c>
      <c r="H408" s="5">
        <v>9</v>
      </c>
      <c r="I408" s="3">
        <v>23277</v>
      </c>
      <c r="J408" s="10">
        <v>5</v>
      </c>
      <c r="K408" s="2">
        <v>199018.35</v>
      </c>
      <c r="L408" s="2">
        <f>Raw_Sales_Data3[[#This Row],[Quantity]]*Raw_Sales_Data3[[#This Row],[Unit Price]]*(Raw_Sales_Data3[[#This Row],[Discount %]]/100)</f>
        <v>10474.650000000001</v>
      </c>
      <c r="M408" t="str">
        <f>IF(COUNTIF(Raw_Sales_Data3[Order ID],Raw_Sales_Data3[[#This Row],[Order ID]])&gt;1,"Duplicate Order ID","Unique Order ID")</f>
        <v>Unique Order ID</v>
      </c>
    </row>
    <row r="409" spans="1:13" x14ac:dyDescent="0.3">
      <c r="A409" t="s">
        <v>460</v>
      </c>
      <c r="B409" s="1">
        <v>46064</v>
      </c>
      <c r="C409" t="s">
        <v>12</v>
      </c>
      <c r="D409" t="s">
        <v>70</v>
      </c>
      <c r="E409" t="s">
        <v>39</v>
      </c>
      <c r="F409" t="s">
        <v>24</v>
      </c>
      <c r="G409" t="s">
        <v>29</v>
      </c>
      <c r="H409" s="5">
        <v>12</v>
      </c>
      <c r="I409" s="3">
        <v>33327</v>
      </c>
      <c r="J409" s="10">
        <v>0</v>
      </c>
      <c r="K409" s="2">
        <v>399924</v>
      </c>
      <c r="L409" s="2">
        <f>Raw_Sales_Data3[[#This Row],[Quantity]]*Raw_Sales_Data3[[#This Row],[Unit Price]]*(Raw_Sales_Data3[[#This Row],[Discount %]]/100)</f>
        <v>0</v>
      </c>
      <c r="M409" t="str">
        <f>IF(COUNTIF(Raw_Sales_Data3[Order ID],Raw_Sales_Data3[[#This Row],[Order ID]])&gt;1,"Duplicate Order ID","Unique Order ID")</f>
        <v>Duplicate Order ID</v>
      </c>
    </row>
    <row r="410" spans="1:13" x14ac:dyDescent="0.3">
      <c r="A410" t="s">
        <v>460</v>
      </c>
      <c r="B410" s="1">
        <v>46073</v>
      </c>
      <c r="C410" t="s">
        <v>33</v>
      </c>
      <c r="D410" t="s">
        <v>43</v>
      </c>
      <c r="E410" t="s">
        <v>18</v>
      </c>
      <c r="F410" t="s">
        <v>14</v>
      </c>
      <c r="G410" t="s">
        <v>125</v>
      </c>
      <c r="H410" s="5">
        <v>12</v>
      </c>
      <c r="I410" s="3">
        <v>5598</v>
      </c>
      <c r="J410" s="10">
        <v>0</v>
      </c>
      <c r="K410" s="2">
        <v>67176</v>
      </c>
      <c r="L410" s="2">
        <f>Raw_Sales_Data3[[#This Row],[Quantity]]*Raw_Sales_Data3[[#This Row],[Unit Price]]*(Raw_Sales_Data3[[#This Row],[Discount %]]/100)</f>
        <v>0</v>
      </c>
      <c r="M410" t="str">
        <f>IF(COUNTIF(Raw_Sales_Data3[Order ID],Raw_Sales_Data3[[#This Row],[Order ID]])&gt;1,"Duplicate Order ID","Unique Order ID")</f>
        <v>Duplicate Order ID</v>
      </c>
    </row>
    <row r="411" spans="1:13" x14ac:dyDescent="0.3">
      <c r="A411" t="s">
        <v>461</v>
      </c>
      <c r="B411" s="1">
        <v>46054</v>
      </c>
      <c r="C411" t="s">
        <v>123</v>
      </c>
      <c r="D411" t="s">
        <v>70</v>
      </c>
      <c r="E411" t="s">
        <v>18</v>
      </c>
      <c r="F411" t="s">
        <v>19</v>
      </c>
      <c r="G411" t="s">
        <v>59</v>
      </c>
      <c r="H411" s="5">
        <v>8</v>
      </c>
      <c r="I411" s="3">
        <v>9890</v>
      </c>
      <c r="J411" s="10">
        <v>15</v>
      </c>
      <c r="K411" s="2">
        <v>67252</v>
      </c>
      <c r="L411" s="2">
        <f>Raw_Sales_Data3[[#This Row],[Quantity]]*Raw_Sales_Data3[[#This Row],[Unit Price]]*(Raw_Sales_Data3[[#This Row],[Discount %]]/100)</f>
        <v>11868</v>
      </c>
      <c r="M411" t="str">
        <f>IF(COUNTIF(Raw_Sales_Data3[Order ID],Raw_Sales_Data3[[#This Row],[Order ID]])&gt;1,"Duplicate Order ID","Unique Order ID")</f>
        <v>Unique Order ID</v>
      </c>
    </row>
    <row r="412" spans="1:13" x14ac:dyDescent="0.3">
      <c r="A412" t="s">
        <v>462</v>
      </c>
      <c r="B412" s="1">
        <v>46067</v>
      </c>
      <c r="C412" t="s">
        <v>91</v>
      </c>
      <c r="D412" t="s">
        <v>58</v>
      </c>
      <c r="E412" t="s">
        <v>28</v>
      </c>
      <c r="F412" t="s">
        <v>14</v>
      </c>
      <c r="G412" t="s">
        <v>51</v>
      </c>
      <c r="H412" s="5">
        <v>5</v>
      </c>
      <c r="I412" s="3">
        <v>14684</v>
      </c>
      <c r="J412" s="10">
        <v>0</v>
      </c>
      <c r="K412" s="2">
        <v>73420</v>
      </c>
      <c r="L412" s="2">
        <f>Raw_Sales_Data3[[#This Row],[Quantity]]*Raw_Sales_Data3[[#This Row],[Unit Price]]*(Raw_Sales_Data3[[#This Row],[Discount %]]/100)</f>
        <v>0</v>
      </c>
      <c r="M412" t="str">
        <f>IF(COUNTIF(Raw_Sales_Data3[Order ID],Raw_Sales_Data3[[#This Row],[Order ID]])&gt;1,"Duplicate Order ID","Unique Order ID")</f>
        <v>Unique Order ID</v>
      </c>
    </row>
    <row r="413" spans="1:13" x14ac:dyDescent="0.3">
      <c r="A413" t="s">
        <v>463</v>
      </c>
      <c r="B413" s="1">
        <v>46099</v>
      </c>
      <c r="C413" t="s">
        <v>50</v>
      </c>
      <c r="D413" t="s">
        <v>58</v>
      </c>
      <c r="E413" t="s">
        <v>13</v>
      </c>
      <c r="F413" t="s">
        <v>24</v>
      </c>
      <c r="G413" t="s">
        <v>71</v>
      </c>
      <c r="H413" s="5">
        <v>9</v>
      </c>
      <c r="I413" s="3">
        <v>44997</v>
      </c>
      <c r="J413" s="10">
        <v>10</v>
      </c>
      <c r="K413" s="2">
        <v>364475.7</v>
      </c>
      <c r="L413" s="2">
        <f>Raw_Sales_Data3[[#This Row],[Quantity]]*Raw_Sales_Data3[[#This Row],[Unit Price]]*(Raw_Sales_Data3[[#This Row],[Discount %]]/100)</f>
        <v>40497.300000000003</v>
      </c>
      <c r="M413" t="str">
        <f>IF(COUNTIF(Raw_Sales_Data3[Order ID],Raw_Sales_Data3[[#This Row],[Order ID]])&gt;1,"Duplicate Order ID","Unique Order ID")</f>
        <v>Unique Order ID</v>
      </c>
    </row>
    <row r="414" spans="1:13" x14ac:dyDescent="0.3">
      <c r="A414" t="s">
        <v>464</v>
      </c>
      <c r="B414" s="1">
        <v>46045</v>
      </c>
      <c r="C414" t="s">
        <v>57</v>
      </c>
      <c r="D414" t="s">
        <v>70</v>
      </c>
      <c r="E414" t="s">
        <v>13</v>
      </c>
      <c r="F414" t="s">
        <v>24</v>
      </c>
      <c r="G414" t="s">
        <v>71</v>
      </c>
      <c r="H414" s="5">
        <v>12</v>
      </c>
      <c r="I414" s="3">
        <v>27203</v>
      </c>
      <c r="J414" s="10">
        <v>20</v>
      </c>
      <c r="K414" s="2">
        <v>261148.79999999999</v>
      </c>
      <c r="L414" s="2">
        <f>Raw_Sales_Data3[[#This Row],[Quantity]]*Raw_Sales_Data3[[#This Row],[Unit Price]]*(Raw_Sales_Data3[[#This Row],[Discount %]]/100)</f>
        <v>65287.200000000004</v>
      </c>
      <c r="M414" t="str">
        <f>IF(COUNTIF(Raw_Sales_Data3[Order ID],Raw_Sales_Data3[[#This Row],[Order ID]])&gt;1,"Duplicate Order ID","Unique Order ID")</f>
        <v>Unique Order ID</v>
      </c>
    </row>
    <row r="415" spans="1:13" x14ac:dyDescent="0.3">
      <c r="A415" t="s">
        <v>465</v>
      </c>
      <c r="B415" s="1">
        <v>46108</v>
      </c>
      <c r="C415" t="s">
        <v>36</v>
      </c>
      <c r="D415" t="s">
        <v>58</v>
      </c>
      <c r="E415" t="s">
        <v>34</v>
      </c>
      <c r="F415" t="s">
        <v>19</v>
      </c>
      <c r="G415" t="s">
        <v>59</v>
      </c>
      <c r="H415" s="5">
        <v>14</v>
      </c>
      <c r="I415" s="3">
        <v>9648</v>
      </c>
      <c r="J415" s="10">
        <v>20</v>
      </c>
      <c r="K415" s="2">
        <v>108057.60000000001</v>
      </c>
      <c r="L415" s="2">
        <f>Raw_Sales_Data3[[#This Row],[Quantity]]*Raw_Sales_Data3[[#This Row],[Unit Price]]*(Raw_Sales_Data3[[#This Row],[Discount %]]/100)</f>
        <v>27014.400000000001</v>
      </c>
      <c r="M415" t="str">
        <f>IF(COUNTIF(Raw_Sales_Data3[Order ID],Raw_Sales_Data3[[#This Row],[Order ID]])&gt;1,"Duplicate Order ID","Unique Order ID")</f>
        <v>Unique Order ID</v>
      </c>
    </row>
    <row r="416" spans="1:13" x14ac:dyDescent="0.3">
      <c r="A416" t="s">
        <v>466</v>
      </c>
      <c r="B416" s="1">
        <v>46055</v>
      </c>
      <c r="C416" t="s">
        <v>86</v>
      </c>
      <c r="D416" t="s">
        <v>58</v>
      </c>
      <c r="E416" t="s">
        <v>13</v>
      </c>
      <c r="F416" t="s">
        <v>19</v>
      </c>
      <c r="G416" t="s">
        <v>20</v>
      </c>
      <c r="H416" s="5">
        <v>4</v>
      </c>
      <c r="I416" s="3">
        <v>59851</v>
      </c>
      <c r="J416" s="10">
        <v>0</v>
      </c>
      <c r="K416" s="2">
        <v>239404</v>
      </c>
      <c r="L416" s="2">
        <f>Raw_Sales_Data3[[#This Row],[Quantity]]*Raw_Sales_Data3[[#This Row],[Unit Price]]*(Raw_Sales_Data3[[#This Row],[Discount %]]/100)</f>
        <v>0</v>
      </c>
      <c r="M416" t="str">
        <f>IF(COUNTIF(Raw_Sales_Data3[Order ID],Raw_Sales_Data3[[#This Row],[Order ID]])&gt;1,"Duplicate Order ID","Unique Order ID")</f>
        <v>Unique Order ID</v>
      </c>
    </row>
    <row r="417" spans="1:13" x14ac:dyDescent="0.3">
      <c r="A417" t="s">
        <v>467</v>
      </c>
      <c r="B417" s="1">
        <v>46074</v>
      </c>
      <c r="C417" t="s">
        <v>45</v>
      </c>
      <c r="D417" t="s">
        <v>23</v>
      </c>
      <c r="E417" t="s">
        <v>34</v>
      </c>
      <c r="F417" t="s">
        <v>19</v>
      </c>
      <c r="G417" t="s">
        <v>147</v>
      </c>
      <c r="H417" s="5">
        <v>3</v>
      </c>
      <c r="I417" s="3">
        <v>59087</v>
      </c>
      <c r="J417" s="10">
        <v>5</v>
      </c>
      <c r="K417" s="2">
        <v>168397.95</v>
      </c>
      <c r="L417" s="2">
        <f>Raw_Sales_Data3[[#This Row],[Quantity]]*Raw_Sales_Data3[[#This Row],[Unit Price]]*(Raw_Sales_Data3[[#This Row],[Discount %]]/100)</f>
        <v>8863.0500000000011</v>
      </c>
      <c r="M417" t="str">
        <f>IF(COUNTIF(Raw_Sales_Data3[Order ID],Raw_Sales_Data3[[#This Row],[Order ID]])&gt;1,"Duplicate Order ID","Unique Order ID")</f>
        <v>Unique Order ID</v>
      </c>
    </row>
    <row r="418" spans="1:13" x14ac:dyDescent="0.3">
      <c r="A418" t="s">
        <v>468</v>
      </c>
      <c r="B418" s="1">
        <v>46083</v>
      </c>
      <c r="C418" t="s">
        <v>64</v>
      </c>
      <c r="D418" t="s">
        <v>43</v>
      </c>
      <c r="E418" t="s">
        <v>18</v>
      </c>
      <c r="F418" t="s">
        <v>19</v>
      </c>
      <c r="G418" t="s">
        <v>40</v>
      </c>
      <c r="H418" s="5">
        <v>13</v>
      </c>
      <c r="I418" s="3">
        <v>59707</v>
      </c>
      <c r="J418" s="10">
        <v>0</v>
      </c>
      <c r="K418" s="2">
        <v>776191</v>
      </c>
      <c r="L418" s="2">
        <f>Raw_Sales_Data3[[#This Row],[Quantity]]*Raw_Sales_Data3[[#This Row],[Unit Price]]*(Raw_Sales_Data3[[#This Row],[Discount %]]/100)</f>
        <v>0</v>
      </c>
      <c r="M418" t="str">
        <f>IF(COUNTIF(Raw_Sales_Data3[Order ID],Raw_Sales_Data3[[#This Row],[Order ID]])&gt;1,"Duplicate Order ID","Unique Order ID")</f>
        <v>Unique Order ID</v>
      </c>
    </row>
    <row r="419" spans="1:13" x14ac:dyDescent="0.3">
      <c r="A419" t="s">
        <v>469</v>
      </c>
      <c r="B419" s="1">
        <v>46099</v>
      </c>
      <c r="C419" t="s">
        <v>33</v>
      </c>
      <c r="D419" t="s">
        <v>58</v>
      </c>
      <c r="E419" t="s">
        <v>28</v>
      </c>
      <c r="F419" t="s">
        <v>24</v>
      </c>
      <c r="G419" t="s">
        <v>25</v>
      </c>
      <c r="H419" s="5">
        <v>3</v>
      </c>
      <c r="I419" s="3">
        <v>48838</v>
      </c>
      <c r="J419" s="10">
        <v>5</v>
      </c>
      <c r="K419" s="2">
        <v>139188.29999999999</v>
      </c>
      <c r="L419" s="2">
        <f>Raw_Sales_Data3[[#This Row],[Quantity]]*Raw_Sales_Data3[[#This Row],[Unit Price]]*(Raw_Sales_Data3[[#This Row],[Discount %]]/100)</f>
        <v>7325.7000000000007</v>
      </c>
      <c r="M419" t="str">
        <f>IF(COUNTIF(Raw_Sales_Data3[Order ID],Raw_Sales_Data3[[#This Row],[Order ID]])&gt;1,"Duplicate Order ID","Unique Order ID")</f>
        <v>Unique Order ID</v>
      </c>
    </row>
    <row r="420" spans="1:13" x14ac:dyDescent="0.3">
      <c r="A420" t="s">
        <v>470</v>
      </c>
      <c r="B420" s="1">
        <v>46043</v>
      </c>
      <c r="C420" t="s">
        <v>64</v>
      </c>
      <c r="D420" t="s">
        <v>23</v>
      </c>
      <c r="E420" t="s">
        <v>13</v>
      </c>
      <c r="F420" t="s">
        <v>24</v>
      </c>
      <c r="G420" t="s">
        <v>55</v>
      </c>
      <c r="H420" s="5">
        <v>13</v>
      </c>
      <c r="I420" s="3">
        <v>11841</v>
      </c>
      <c r="J420" s="10">
        <v>0</v>
      </c>
      <c r="K420" s="2">
        <v>153933</v>
      </c>
      <c r="L420" s="2">
        <f>Raw_Sales_Data3[[#This Row],[Quantity]]*Raw_Sales_Data3[[#This Row],[Unit Price]]*(Raw_Sales_Data3[[#This Row],[Discount %]]/100)</f>
        <v>0</v>
      </c>
      <c r="M420" t="str">
        <f>IF(COUNTIF(Raw_Sales_Data3[Order ID],Raw_Sales_Data3[[#This Row],[Order ID]])&gt;1,"Duplicate Order ID","Unique Order ID")</f>
        <v>Unique Order ID</v>
      </c>
    </row>
    <row r="421" spans="1:13" x14ac:dyDescent="0.3">
      <c r="A421" t="s">
        <v>471</v>
      </c>
      <c r="B421" s="1">
        <v>46032</v>
      </c>
      <c r="C421" t="s">
        <v>22</v>
      </c>
      <c r="D421" t="s">
        <v>58</v>
      </c>
      <c r="E421" t="s">
        <v>18</v>
      </c>
      <c r="F421" t="s">
        <v>24</v>
      </c>
      <c r="G421" t="s">
        <v>71</v>
      </c>
      <c r="H421" s="5">
        <v>7</v>
      </c>
      <c r="I421" s="3">
        <f>K421/H421</f>
        <v>46740.950000000004</v>
      </c>
      <c r="J421" s="10">
        <v>5</v>
      </c>
      <c r="K421" s="2">
        <v>327186.65000000002</v>
      </c>
      <c r="L421" s="2">
        <f>Raw_Sales_Data3[[#This Row],[Quantity]]*Raw_Sales_Data3[[#This Row],[Unit Price]]*(Raw_Sales_Data3[[#This Row],[Discount %]]/100)</f>
        <v>16359.332500000002</v>
      </c>
      <c r="M421" t="str">
        <f>IF(COUNTIF(Raw_Sales_Data3[Order ID],Raw_Sales_Data3[[#This Row],[Order ID]])&gt;1,"Duplicate Order ID","Unique Order ID")</f>
        <v>Unique Order ID</v>
      </c>
    </row>
    <row r="422" spans="1:13" x14ac:dyDescent="0.3">
      <c r="A422" t="s">
        <v>472</v>
      </c>
      <c r="B422" s="1">
        <v>46043</v>
      </c>
      <c r="C422" t="s">
        <v>91</v>
      </c>
      <c r="D422" t="s">
        <v>70</v>
      </c>
      <c r="E422" t="s">
        <v>18</v>
      </c>
      <c r="F422" t="s">
        <v>24</v>
      </c>
      <c r="G422" t="s">
        <v>77</v>
      </c>
      <c r="H422" s="5">
        <v>2</v>
      </c>
      <c r="I422" s="3">
        <v>1375</v>
      </c>
      <c r="J422" s="10">
        <v>15</v>
      </c>
      <c r="K422" s="2">
        <v>2337.5</v>
      </c>
      <c r="L422" s="2">
        <f>Raw_Sales_Data3[[#This Row],[Quantity]]*Raw_Sales_Data3[[#This Row],[Unit Price]]*(Raw_Sales_Data3[[#This Row],[Discount %]]/100)</f>
        <v>412.5</v>
      </c>
      <c r="M422" t="str">
        <f>IF(COUNTIF(Raw_Sales_Data3[Order ID],Raw_Sales_Data3[[#This Row],[Order ID]])&gt;1,"Duplicate Order ID","Unique Order ID")</f>
        <v>Unique Order ID</v>
      </c>
    </row>
    <row r="423" spans="1:13" x14ac:dyDescent="0.3">
      <c r="A423" t="s">
        <v>473</v>
      </c>
      <c r="B423" s="1">
        <v>46086</v>
      </c>
      <c r="C423" t="s">
        <v>33</v>
      </c>
      <c r="D423" t="s">
        <v>43</v>
      </c>
      <c r="E423" t="s">
        <v>39</v>
      </c>
      <c r="F423" t="s">
        <v>24</v>
      </c>
      <c r="G423" t="s">
        <v>55</v>
      </c>
      <c r="H423" s="5">
        <v>15</v>
      </c>
      <c r="I423" s="3">
        <v>612</v>
      </c>
      <c r="J423" s="10">
        <v>0</v>
      </c>
      <c r="K423" s="2">
        <v>9180</v>
      </c>
      <c r="L423" s="2">
        <f>Raw_Sales_Data3[[#This Row],[Quantity]]*Raw_Sales_Data3[[#This Row],[Unit Price]]*(Raw_Sales_Data3[[#This Row],[Discount %]]/100)</f>
        <v>0</v>
      </c>
      <c r="M423" t="str">
        <f>IF(COUNTIF(Raw_Sales_Data3[Order ID],Raw_Sales_Data3[[#This Row],[Order ID]])&gt;1,"Duplicate Order ID","Unique Order ID")</f>
        <v>Unique Order ID</v>
      </c>
    </row>
    <row r="424" spans="1:13" x14ac:dyDescent="0.3">
      <c r="A424" t="s">
        <v>474</v>
      </c>
      <c r="B424" s="1">
        <v>46034</v>
      </c>
      <c r="C424" t="s">
        <v>57</v>
      </c>
      <c r="D424" t="s">
        <v>23</v>
      </c>
      <c r="E424" t="s">
        <v>13</v>
      </c>
      <c r="F424" t="s">
        <v>19</v>
      </c>
      <c r="G424" t="s">
        <v>31</v>
      </c>
      <c r="H424" s="5">
        <v>1</v>
      </c>
      <c r="I424" s="3">
        <v>39747</v>
      </c>
      <c r="J424" s="10">
        <v>0</v>
      </c>
      <c r="K424" s="2">
        <v>31797.599999999999</v>
      </c>
      <c r="L424" s="2">
        <f>Raw_Sales_Data3[[#This Row],[Quantity]]*Raw_Sales_Data3[[#This Row],[Unit Price]]*(Raw_Sales_Data3[[#This Row],[Discount %]]/100)</f>
        <v>0</v>
      </c>
      <c r="M424" t="str">
        <f>IF(COUNTIF(Raw_Sales_Data3[Order ID],Raw_Sales_Data3[[#This Row],[Order ID]])&gt;1,"Duplicate Order ID","Unique Order ID")</f>
        <v>Unique Order ID</v>
      </c>
    </row>
    <row r="425" spans="1:13" x14ac:dyDescent="0.3">
      <c r="A425" t="s">
        <v>475</v>
      </c>
      <c r="B425" s="1">
        <v>46107</v>
      </c>
      <c r="C425" t="s">
        <v>57</v>
      </c>
      <c r="D425" t="s">
        <v>58</v>
      </c>
      <c r="E425" t="s">
        <v>28</v>
      </c>
      <c r="F425" t="s">
        <v>24</v>
      </c>
      <c r="G425" t="s">
        <v>25</v>
      </c>
      <c r="H425" s="5">
        <v>9</v>
      </c>
      <c r="I425" s="3">
        <v>27584</v>
      </c>
      <c r="J425" s="10">
        <v>0</v>
      </c>
      <c r="K425" s="2">
        <v>248256</v>
      </c>
      <c r="L425" s="2">
        <f>Raw_Sales_Data3[[#This Row],[Quantity]]*Raw_Sales_Data3[[#This Row],[Unit Price]]*(Raw_Sales_Data3[[#This Row],[Discount %]]/100)</f>
        <v>0</v>
      </c>
      <c r="M425" t="str">
        <f>IF(COUNTIF(Raw_Sales_Data3[Order ID],Raw_Sales_Data3[[#This Row],[Order ID]])&gt;1,"Duplicate Order ID","Unique Order ID")</f>
        <v>Unique Order ID</v>
      </c>
    </row>
    <row r="426" spans="1:13" x14ac:dyDescent="0.3">
      <c r="A426" t="s">
        <v>476</v>
      </c>
      <c r="B426" s="1"/>
      <c r="C426" t="s">
        <v>22</v>
      </c>
      <c r="D426" t="s">
        <v>70</v>
      </c>
      <c r="E426" t="s">
        <v>34</v>
      </c>
      <c r="F426" t="s">
        <v>24</v>
      </c>
      <c r="G426" t="s">
        <v>77</v>
      </c>
      <c r="H426" s="5">
        <v>2</v>
      </c>
      <c r="I426" s="3">
        <v>4439</v>
      </c>
      <c r="J426" s="10">
        <v>15</v>
      </c>
      <c r="K426" s="2">
        <v>7546.3</v>
      </c>
      <c r="L426" s="2">
        <f>Raw_Sales_Data3[[#This Row],[Quantity]]*Raw_Sales_Data3[[#This Row],[Unit Price]]*(Raw_Sales_Data3[[#This Row],[Discount %]]/100)</f>
        <v>1331.7</v>
      </c>
      <c r="M426" t="str">
        <f>IF(COUNTIF(Raw_Sales_Data3[Order ID],Raw_Sales_Data3[[#This Row],[Order ID]])&gt;1,"Duplicate Order ID","Unique Order ID")</f>
        <v>Unique Order ID</v>
      </c>
    </row>
    <row r="427" spans="1:13" x14ac:dyDescent="0.3">
      <c r="A427" t="s">
        <v>477</v>
      </c>
      <c r="B427" s="1">
        <v>46033</v>
      </c>
      <c r="C427" t="s">
        <v>64</v>
      </c>
      <c r="D427" t="s">
        <v>23</v>
      </c>
      <c r="E427" t="s">
        <v>39</v>
      </c>
      <c r="F427" t="s">
        <v>24</v>
      </c>
      <c r="G427" t="s">
        <v>53</v>
      </c>
      <c r="H427" s="5">
        <v>13</v>
      </c>
      <c r="I427" s="3">
        <v>59996</v>
      </c>
      <c r="J427" s="10">
        <v>20</v>
      </c>
      <c r="K427" s="2">
        <v>623958.4</v>
      </c>
      <c r="L427" s="2">
        <f>Raw_Sales_Data3[[#This Row],[Quantity]]*Raw_Sales_Data3[[#This Row],[Unit Price]]*(Raw_Sales_Data3[[#This Row],[Discount %]]/100)</f>
        <v>155989.6</v>
      </c>
      <c r="M427" t="str">
        <f>IF(COUNTIF(Raw_Sales_Data3[Order ID],Raw_Sales_Data3[[#This Row],[Order ID]])&gt;1,"Duplicate Order ID","Unique Order ID")</f>
        <v>Unique Order ID</v>
      </c>
    </row>
    <row r="428" spans="1:13" x14ac:dyDescent="0.3">
      <c r="A428" t="s">
        <v>478</v>
      </c>
      <c r="B428" s="1">
        <v>46031</v>
      </c>
      <c r="C428" t="s">
        <v>22</v>
      </c>
      <c r="D428" t="s">
        <v>58</v>
      </c>
      <c r="E428" t="s">
        <v>39</v>
      </c>
      <c r="F428" t="s">
        <v>24</v>
      </c>
      <c r="G428" t="s">
        <v>55</v>
      </c>
      <c r="H428" s="5">
        <v>3</v>
      </c>
      <c r="I428" s="3">
        <v>28298</v>
      </c>
      <c r="J428" s="10">
        <v>15</v>
      </c>
      <c r="K428" s="2">
        <v>72159.899999999994</v>
      </c>
      <c r="L428" s="2">
        <f>Raw_Sales_Data3[[#This Row],[Quantity]]*Raw_Sales_Data3[[#This Row],[Unit Price]]*(Raw_Sales_Data3[[#This Row],[Discount %]]/100)</f>
        <v>12734.1</v>
      </c>
      <c r="M428" t="str">
        <f>IF(COUNTIF(Raw_Sales_Data3[Order ID],Raw_Sales_Data3[[#This Row],[Order ID]])&gt;1,"Duplicate Order ID","Unique Order ID")</f>
        <v>Unique Order ID</v>
      </c>
    </row>
    <row r="429" spans="1:13" x14ac:dyDescent="0.3">
      <c r="A429" t="s">
        <v>479</v>
      </c>
      <c r="B429" s="1">
        <v>46104</v>
      </c>
      <c r="C429" t="s">
        <v>89</v>
      </c>
      <c r="D429" t="s">
        <v>70</v>
      </c>
      <c r="E429" t="s">
        <v>18</v>
      </c>
      <c r="F429" t="s">
        <v>14</v>
      </c>
      <c r="G429" t="s">
        <v>73</v>
      </c>
      <c r="H429" s="5">
        <v>1</v>
      </c>
      <c r="I429" s="3">
        <v>10311</v>
      </c>
      <c r="J429" s="10">
        <v>0</v>
      </c>
      <c r="K429" s="2">
        <v>9279.9</v>
      </c>
      <c r="L429" s="2">
        <f>Raw_Sales_Data3[[#This Row],[Quantity]]*Raw_Sales_Data3[[#This Row],[Unit Price]]*(Raw_Sales_Data3[[#This Row],[Discount %]]/100)</f>
        <v>0</v>
      </c>
      <c r="M429" t="str">
        <f>IF(COUNTIF(Raw_Sales_Data3[Order ID],Raw_Sales_Data3[[#This Row],[Order ID]])&gt;1,"Duplicate Order ID","Unique Order ID")</f>
        <v>Unique Order ID</v>
      </c>
    </row>
    <row r="430" spans="1:13" x14ac:dyDescent="0.3">
      <c r="A430" t="s">
        <v>480</v>
      </c>
      <c r="B430" s="1">
        <v>46111</v>
      </c>
      <c r="C430" t="s">
        <v>69</v>
      </c>
      <c r="D430" t="s">
        <v>58</v>
      </c>
      <c r="E430" t="s">
        <v>28</v>
      </c>
      <c r="F430" t="s">
        <v>19</v>
      </c>
      <c r="G430" t="s">
        <v>120</v>
      </c>
      <c r="H430" s="5">
        <v>5</v>
      </c>
      <c r="I430" s="3">
        <f>K430/H430</f>
        <v>40868</v>
      </c>
      <c r="J430" s="10">
        <v>0</v>
      </c>
      <c r="K430" s="2">
        <v>204340</v>
      </c>
      <c r="L430" s="2">
        <f>Raw_Sales_Data3[[#This Row],[Quantity]]*Raw_Sales_Data3[[#This Row],[Unit Price]]*(Raw_Sales_Data3[[#This Row],[Discount %]]/100)</f>
        <v>0</v>
      </c>
      <c r="M430" t="str">
        <f>IF(COUNTIF(Raw_Sales_Data3[Order ID],Raw_Sales_Data3[[#This Row],[Order ID]])&gt;1,"Duplicate Order ID","Unique Order ID")</f>
        <v>Unique Order ID</v>
      </c>
    </row>
    <row r="431" spans="1:13" x14ac:dyDescent="0.3">
      <c r="A431" t="s">
        <v>481</v>
      </c>
      <c r="B431" s="1">
        <v>46089</v>
      </c>
      <c r="C431" t="s">
        <v>54</v>
      </c>
      <c r="D431" t="s">
        <v>58</v>
      </c>
      <c r="E431" t="s">
        <v>28</v>
      </c>
      <c r="F431" t="s">
        <v>19</v>
      </c>
      <c r="G431" t="s">
        <v>20</v>
      </c>
      <c r="H431" s="5">
        <v>2</v>
      </c>
      <c r="I431" s="3">
        <v>14797</v>
      </c>
      <c r="J431" s="10">
        <v>15</v>
      </c>
      <c r="K431" s="2">
        <v>25154.9</v>
      </c>
      <c r="L431" s="2">
        <f>Raw_Sales_Data3[[#This Row],[Quantity]]*Raw_Sales_Data3[[#This Row],[Unit Price]]*(Raw_Sales_Data3[[#This Row],[Discount %]]/100)</f>
        <v>4439.0999999999995</v>
      </c>
      <c r="M431" t="str">
        <f>IF(COUNTIF(Raw_Sales_Data3[Order ID],Raw_Sales_Data3[[#This Row],[Order ID]])&gt;1,"Duplicate Order ID","Unique Order ID")</f>
        <v>Unique Order ID</v>
      </c>
    </row>
    <row r="432" spans="1:13" x14ac:dyDescent="0.3">
      <c r="A432" t="s">
        <v>482</v>
      </c>
      <c r="B432" s="1">
        <v>46067</v>
      </c>
      <c r="C432" t="s">
        <v>12</v>
      </c>
      <c r="D432" t="s">
        <v>23</v>
      </c>
      <c r="E432" t="s">
        <v>13</v>
      </c>
      <c r="F432" t="s">
        <v>24</v>
      </c>
      <c r="G432" t="s">
        <v>53</v>
      </c>
      <c r="H432" s="5">
        <v>13</v>
      </c>
      <c r="I432" s="3">
        <v>52841</v>
      </c>
      <c r="J432" s="10">
        <v>15</v>
      </c>
      <c r="K432" s="2">
        <v>583893.05000000005</v>
      </c>
      <c r="L432" s="2">
        <f>Raw_Sales_Data3[[#This Row],[Quantity]]*Raw_Sales_Data3[[#This Row],[Unit Price]]*(Raw_Sales_Data3[[#This Row],[Discount %]]/100)</f>
        <v>103039.95</v>
      </c>
      <c r="M432" t="str">
        <f>IF(COUNTIF(Raw_Sales_Data3[Order ID],Raw_Sales_Data3[[#This Row],[Order ID]])&gt;1,"Duplicate Order ID","Unique Order ID")</f>
        <v>Unique Order ID</v>
      </c>
    </row>
    <row r="433" spans="1:13" x14ac:dyDescent="0.3">
      <c r="A433" t="s">
        <v>483</v>
      </c>
      <c r="B433" s="1">
        <v>46057</v>
      </c>
      <c r="C433" t="s">
        <v>45</v>
      </c>
      <c r="D433" t="s">
        <v>43</v>
      </c>
      <c r="E433" t="s">
        <v>39</v>
      </c>
      <c r="F433" t="s">
        <v>24</v>
      </c>
      <c r="G433" t="s">
        <v>71</v>
      </c>
      <c r="H433" s="5">
        <v>7</v>
      </c>
      <c r="I433" s="3">
        <v>48075</v>
      </c>
      <c r="J433" s="10">
        <v>0</v>
      </c>
      <c r="K433" s="2">
        <v>336525</v>
      </c>
      <c r="L433" s="2">
        <f>Raw_Sales_Data3[[#This Row],[Quantity]]*Raw_Sales_Data3[[#This Row],[Unit Price]]*(Raw_Sales_Data3[[#This Row],[Discount %]]/100)</f>
        <v>0</v>
      </c>
      <c r="M433" t="str">
        <f>IF(COUNTIF(Raw_Sales_Data3[Order ID],Raw_Sales_Data3[[#This Row],[Order ID]])&gt;1,"Duplicate Order ID","Unique Order ID")</f>
        <v>Unique Order ID</v>
      </c>
    </row>
    <row r="434" spans="1:13" x14ac:dyDescent="0.3">
      <c r="A434" t="s">
        <v>484</v>
      </c>
      <c r="B434" s="1">
        <v>46078</v>
      </c>
      <c r="C434" t="s">
        <v>12</v>
      </c>
      <c r="D434" t="s">
        <v>23</v>
      </c>
      <c r="E434" t="s">
        <v>34</v>
      </c>
      <c r="F434" t="s">
        <v>24</v>
      </c>
      <c r="G434" t="s">
        <v>29</v>
      </c>
      <c r="H434" s="5">
        <v>13</v>
      </c>
      <c r="I434" s="3">
        <v>49377</v>
      </c>
      <c r="J434" s="10">
        <v>15</v>
      </c>
      <c r="K434" s="2">
        <v>545615.85</v>
      </c>
      <c r="L434" s="2">
        <f>Raw_Sales_Data3[[#This Row],[Quantity]]*Raw_Sales_Data3[[#This Row],[Unit Price]]*(Raw_Sales_Data3[[#This Row],[Discount %]]/100)</f>
        <v>96285.15</v>
      </c>
      <c r="M434" t="str">
        <f>IF(COUNTIF(Raw_Sales_Data3[Order ID],Raw_Sales_Data3[[#This Row],[Order ID]])&gt;1,"Duplicate Order ID","Unique Order ID")</f>
        <v>Unique Order ID</v>
      </c>
    </row>
    <row r="435" spans="1:13" x14ac:dyDescent="0.3">
      <c r="A435" t="s">
        <v>485</v>
      </c>
      <c r="B435" s="1">
        <v>46045</v>
      </c>
      <c r="C435" t="s">
        <v>86</v>
      </c>
      <c r="D435" t="s">
        <v>43</v>
      </c>
      <c r="E435" t="s">
        <v>18</v>
      </c>
      <c r="F435" t="s">
        <v>24</v>
      </c>
      <c r="G435" t="s">
        <v>53</v>
      </c>
      <c r="H435" s="5">
        <v>7</v>
      </c>
      <c r="I435" s="3">
        <v>56335</v>
      </c>
      <c r="J435" s="10">
        <v>10</v>
      </c>
      <c r="K435" s="2">
        <v>354910.5</v>
      </c>
      <c r="L435" s="2">
        <f>Raw_Sales_Data3[[#This Row],[Quantity]]*Raw_Sales_Data3[[#This Row],[Unit Price]]*(Raw_Sales_Data3[[#This Row],[Discount %]]/100)</f>
        <v>39434.5</v>
      </c>
      <c r="M435" t="str">
        <f>IF(COUNTIF(Raw_Sales_Data3[Order ID],Raw_Sales_Data3[[#This Row],[Order ID]])&gt;1,"Duplicate Order ID","Unique Order ID")</f>
        <v>Unique Order ID</v>
      </c>
    </row>
    <row r="436" spans="1:13" x14ac:dyDescent="0.3">
      <c r="A436" t="s">
        <v>486</v>
      </c>
      <c r="B436" s="1">
        <v>46097</v>
      </c>
      <c r="C436" t="s">
        <v>17</v>
      </c>
      <c r="D436" t="s">
        <v>70</v>
      </c>
      <c r="E436" t="s">
        <v>18</v>
      </c>
      <c r="F436" t="s">
        <v>14</v>
      </c>
      <c r="G436" t="s">
        <v>98</v>
      </c>
      <c r="H436" s="5">
        <v>2</v>
      </c>
      <c r="I436" s="3">
        <v>4797</v>
      </c>
      <c r="J436" s="10">
        <v>20</v>
      </c>
      <c r="K436" s="2">
        <v>7675.2</v>
      </c>
      <c r="L436" s="2">
        <f>Raw_Sales_Data3[[#This Row],[Quantity]]*Raw_Sales_Data3[[#This Row],[Unit Price]]*(Raw_Sales_Data3[[#This Row],[Discount %]]/100)</f>
        <v>1918.8000000000002</v>
      </c>
      <c r="M436" t="str">
        <f>IF(COUNTIF(Raw_Sales_Data3[Order ID],Raw_Sales_Data3[[#This Row],[Order ID]])&gt;1,"Duplicate Order ID","Unique Order ID")</f>
        <v>Unique Order ID</v>
      </c>
    </row>
    <row r="437" spans="1:13" x14ac:dyDescent="0.3">
      <c r="A437" t="s">
        <v>487</v>
      </c>
      <c r="B437" s="1">
        <v>46069</v>
      </c>
      <c r="C437" t="s">
        <v>36</v>
      </c>
      <c r="D437" t="s">
        <v>58</v>
      </c>
      <c r="E437" t="s">
        <v>18</v>
      </c>
      <c r="F437" t="s">
        <v>24</v>
      </c>
      <c r="G437" t="s">
        <v>29</v>
      </c>
      <c r="H437" s="5">
        <v>2</v>
      </c>
      <c r="I437" s="3">
        <v>12542</v>
      </c>
      <c r="J437" s="10">
        <v>0</v>
      </c>
      <c r="K437" s="2">
        <v>25084</v>
      </c>
      <c r="L437" s="2">
        <f>Raw_Sales_Data3[[#This Row],[Quantity]]*Raw_Sales_Data3[[#This Row],[Unit Price]]*(Raw_Sales_Data3[[#This Row],[Discount %]]/100)</f>
        <v>0</v>
      </c>
      <c r="M437" t="str">
        <f>IF(COUNTIF(Raw_Sales_Data3[Order ID],Raw_Sales_Data3[[#This Row],[Order ID]])&gt;1,"Duplicate Order ID","Unique Order ID")</f>
        <v>Unique Order ID</v>
      </c>
    </row>
    <row r="438" spans="1:13" x14ac:dyDescent="0.3">
      <c r="A438" t="s">
        <v>488</v>
      </c>
      <c r="B438" s="1">
        <v>46079</v>
      </c>
      <c r="C438" t="s">
        <v>42</v>
      </c>
      <c r="D438" t="s">
        <v>23</v>
      </c>
      <c r="E438" t="s">
        <v>28</v>
      </c>
      <c r="F438" t="s">
        <v>24</v>
      </c>
      <c r="G438" t="s">
        <v>25</v>
      </c>
      <c r="H438" s="5">
        <v>10</v>
      </c>
      <c r="I438" s="3">
        <v>9662</v>
      </c>
      <c r="J438" s="10">
        <v>15</v>
      </c>
      <c r="K438" s="2">
        <v>82127</v>
      </c>
      <c r="L438" s="2">
        <f>Raw_Sales_Data3[[#This Row],[Quantity]]*Raw_Sales_Data3[[#This Row],[Unit Price]]*(Raw_Sales_Data3[[#This Row],[Discount %]]/100)</f>
        <v>14493</v>
      </c>
      <c r="M438" t="str">
        <f>IF(COUNTIF(Raw_Sales_Data3[Order ID],Raw_Sales_Data3[[#This Row],[Order ID]])&gt;1,"Duplicate Order ID","Unique Order ID")</f>
        <v>Unique Order ID</v>
      </c>
    </row>
    <row r="439" spans="1:13" x14ac:dyDescent="0.3">
      <c r="A439" t="s">
        <v>489</v>
      </c>
      <c r="B439" s="1">
        <v>46065</v>
      </c>
      <c r="C439" t="s">
        <v>123</v>
      </c>
      <c r="D439" t="s">
        <v>58</v>
      </c>
      <c r="E439" t="s">
        <v>34</v>
      </c>
      <c r="F439" t="s">
        <v>14</v>
      </c>
      <c r="G439" t="s">
        <v>51</v>
      </c>
      <c r="H439" s="5">
        <v>9</v>
      </c>
      <c r="I439" s="3">
        <v>25111</v>
      </c>
      <c r="J439" s="10">
        <v>10</v>
      </c>
      <c r="K439" s="2">
        <v>203399.1</v>
      </c>
      <c r="L439" s="2">
        <f>Raw_Sales_Data3[[#This Row],[Quantity]]*Raw_Sales_Data3[[#This Row],[Unit Price]]*(Raw_Sales_Data3[[#This Row],[Discount %]]/100)</f>
        <v>22599.9</v>
      </c>
      <c r="M439" t="str">
        <f>IF(COUNTIF(Raw_Sales_Data3[Order ID],Raw_Sales_Data3[[#This Row],[Order ID]])&gt;1,"Duplicate Order ID","Unique Order ID")</f>
        <v>Unique Order ID</v>
      </c>
    </row>
    <row r="440" spans="1:13" x14ac:dyDescent="0.3">
      <c r="A440" t="s">
        <v>490</v>
      </c>
      <c r="B440" s="1">
        <v>46038</v>
      </c>
      <c r="C440" t="s">
        <v>86</v>
      </c>
      <c r="D440" t="s">
        <v>70</v>
      </c>
      <c r="E440" t="s">
        <v>28</v>
      </c>
      <c r="F440" t="s">
        <v>19</v>
      </c>
      <c r="G440" t="s">
        <v>46</v>
      </c>
      <c r="H440" s="5">
        <v>6</v>
      </c>
      <c r="I440" s="3">
        <v>54766</v>
      </c>
      <c r="J440" s="10">
        <v>0</v>
      </c>
      <c r="K440" s="2">
        <v>328596</v>
      </c>
      <c r="L440" s="2">
        <f>Raw_Sales_Data3[[#This Row],[Quantity]]*Raw_Sales_Data3[[#This Row],[Unit Price]]*(Raw_Sales_Data3[[#This Row],[Discount %]]/100)</f>
        <v>0</v>
      </c>
      <c r="M440" t="str">
        <f>IF(COUNTIF(Raw_Sales_Data3[Order ID],Raw_Sales_Data3[[#This Row],[Order ID]])&gt;1,"Duplicate Order ID","Unique Order ID")</f>
        <v>Unique Order ID</v>
      </c>
    </row>
    <row r="441" spans="1:13" x14ac:dyDescent="0.3">
      <c r="A441" t="s">
        <v>491</v>
      </c>
      <c r="B441" s="1">
        <v>46044</v>
      </c>
      <c r="C441" t="s">
        <v>22</v>
      </c>
      <c r="D441" t="s">
        <v>43</v>
      </c>
      <c r="E441" t="s">
        <v>13</v>
      </c>
      <c r="F441" t="s">
        <v>19</v>
      </c>
      <c r="G441" t="s">
        <v>1038</v>
      </c>
      <c r="H441" s="5">
        <f>K441/(I441*(1-J441/100))</f>
        <v>13</v>
      </c>
      <c r="I441" s="3">
        <v>30718</v>
      </c>
      <c r="J441" s="10">
        <v>0</v>
      </c>
      <c r="K441" s="2">
        <v>399334</v>
      </c>
      <c r="L441" s="2">
        <f>Raw_Sales_Data3[[#This Row],[Quantity]]*Raw_Sales_Data3[[#This Row],[Unit Price]]*(Raw_Sales_Data3[[#This Row],[Discount %]]/100)</f>
        <v>0</v>
      </c>
      <c r="M441" t="str">
        <f>IF(COUNTIF(Raw_Sales_Data3[Order ID],Raw_Sales_Data3[[#This Row],[Order ID]])&gt;1,"Duplicate Order ID","Unique Order ID")</f>
        <v>Unique Order ID</v>
      </c>
    </row>
    <row r="442" spans="1:13" x14ac:dyDescent="0.3">
      <c r="A442" t="s">
        <v>492</v>
      </c>
      <c r="B442" s="1">
        <v>46055</v>
      </c>
      <c r="C442" t="s">
        <v>86</v>
      </c>
      <c r="D442" t="s">
        <v>23</v>
      </c>
      <c r="E442" t="s">
        <v>18</v>
      </c>
      <c r="F442" t="s">
        <v>14</v>
      </c>
      <c r="G442" t="s">
        <v>98</v>
      </c>
      <c r="H442" s="5">
        <v>4</v>
      </c>
      <c r="I442" s="3">
        <f>K442/H442</f>
        <v>56886</v>
      </c>
      <c r="J442" s="10">
        <v>5</v>
      </c>
      <c r="K442" s="2">
        <v>227544</v>
      </c>
      <c r="L442" s="2">
        <f>Raw_Sales_Data3[[#This Row],[Quantity]]*Raw_Sales_Data3[[#This Row],[Unit Price]]*(Raw_Sales_Data3[[#This Row],[Discount %]]/100)</f>
        <v>11377.2</v>
      </c>
      <c r="M442" t="str">
        <f>IF(COUNTIF(Raw_Sales_Data3[Order ID],Raw_Sales_Data3[[#This Row],[Order ID]])&gt;1,"Duplicate Order ID","Unique Order ID")</f>
        <v>Unique Order ID</v>
      </c>
    </row>
    <row r="443" spans="1:13" x14ac:dyDescent="0.3">
      <c r="A443" t="s">
        <v>493</v>
      </c>
      <c r="B443" s="1">
        <v>46087</v>
      </c>
      <c r="C443" t="s">
        <v>42</v>
      </c>
      <c r="D443" t="s">
        <v>70</v>
      </c>
      <c r="E443" t="s">
        <v>34</v>
      </c>
      <c r="F443" t="s">
        <v>24</v>
      </c>
      <c r="G443" t="s">
        <v>29</v>
      </c>
      <c r="H443" s="5">
        <v>13</v>
      </c>
      <c r="I443" s="3">
        <v>16186</v>
      </c>
      <c r="J443" s="10">
        <v>15</v>
      </c>
      <c r="K443" s="2">
        <v>178855.3</v>
      </c>
      <c r="L443" s="2">
        <f>Raw_Sales_Data3[[#This Row],[Quantity]]*Raw_Sales_Data3[[#This Row],[Unit Price]]*(Raw_Sales_Data3[[#This Row],[Discount %]]/100)</f>
        <v>31562.699999999997</v>
      </c>
      <c r="M443" t="str">
        <f>IF(COUNTIF(Raw_Sales_Data3[Order ID],Raw_Sales_Data3[[#This Row],[Order ID]])&gt;1,"Duplicate Order ID","Unique Order ID")</f>
        <v>Unique Order ID</v>
      </c>
    </row>
    <row r="444" spans="1:13" x14ac:dyDescent="0.3">
      <c r="A444" t="s">
        <v>494</v>
      </c>
      <c r="B444" s="1">
        <v>46099</v>
      </c>
      <c r="C444" t="s">
        <v>123</v>
      </c>
      <c r="D444" t="s">
        <v>70</v>
      </c>
      <c r="E444" t="s">
        <v>34</v>
      </c>
      <c r="F444" t="s">
        <v>14</v>
      </c>
      <c r="G444" t="s">
        <v>73</v>
      </c>
      <c r="H444" s="5">
        <v>3</v>
      </c>
      <c r="I444" s="3">
        <v>11140</v>
      </c>
      <c r="J444" s="10">
        <v>0</v>
      </c>
      <c r="K444" s="2">
        <v>33420</v>
      </c>
      <c r="L444" s="2">
        <f>Raw_Sales_Data3[[#This Row],[Quantity]]*Raw_Sales_Data3[[#This Row],[Unit Price]]*(Raw_Sales_Data3[[#This Row],[Discount %]]/100)</f>
        <v>0</v>
      </c>
      <c r="M444" t="str">
        <f>IF(COUNTIF(Raw_Sales_Data3[Order ID],Raw_Sales_Data3[[#This Row],[Order ID]])&gt;1,"Duplicate Order ID","Unique Order ID")</f>
        <v>Unique Order ID</v>
      </c>
    </row>
    <row r="445" spans="1:13" x14ac:dyDescent="0.3">
      <c r="A445" t="s">
        <v>495</v>
      </c>
      <c r="B445" s="1">
        <v>46023</v>
      </c>
      <c r="C445" t="s">
        <v>33</v>
      </c>
      <c r="D445" t="s">
        <v>58</v>
      </c>
      <c r="E445" t="s">
        <v>13</v>
      </c>
      <c r="F445" t="s">
        <v>19</v>
      </c>
      <c r="G445" t="s">
        <v>31</v>
      </c>
      <c r="H445" s="5">
        <v>5</v>
      </c>
      <c r="I445" s="3">
        <v>37009</v>
      </c>
      <c r="J445" s="10">
        <v>0</v>
      </c>
      <c r="K445" s="2">
        <v>185045</v>
      </c>
      <c r="L445" s="2">
        <f>Raw_Sales_Data3[[#This Row],[Quantity]]*Raw_Sales_Data3[[#This Row],[Unit Price]]*(Raw_Sales_Data3[[#This Row],[Discount %]]/100)</f>
        <v>0</v>
      </c>
      <c r="M445" t="str">
        <f>IF(COUNTIF(Raw_Sales_Data3[Order ID],Raw_Sales_Data3[[#This Row],[Order ID]])&gt;1,"Duplicate Order ID","Unique Order ID")</f>
        <v>Unique Order ID</v>
      </c>
    </row>
    <row r="446" spans="1:13" x14ac:dyDescent="0.3">
      <c r="A446" t="s">
        <v>496</v>
      </c>
      <c r="B446" s="1">
        <v>46086</v>
      </c>
      <c r="C446" t="s">
        <v>42</v>
      </c>
      <c r="D446" t="s">
        <v>70</v>
      </c>
      <c r="E446" t="s">
        <v>28</v>
      </c>
      <c r="F446" t="s">
        <v>14</v>
      </c>
      <c r="G446" t="s">
        <v>66</v>
      </c>
      <c r="H446" s="5">
        <v>7</v>
      </c>
      <c r="I446" s="3">
        <v>36964</v>
      </c>
      <c r="J446" s="10">
        <v>15</v>
      </c>
      <c r="K446" s="2">
        <v>219935.8</v>
      </c>
      <c r="L446" s="2">
        <f>Raw_Sales_Data3[[#This Row],[Quantity]]*Raw_Sales_Data3[[#This Row],[Unit Price]]*(Raw_Sales_Data3[[#This Row],[Discount %]]/100)</f>
        <v>38812.199999999997</v>
      </c>
      <c r="M446" t="str">
        <f>IF(COUNTIF(Raw_Sales_Data3[Order ID],Raw_Sales_Data3[[#This Row],[Order ID]])&gt;1,"Duplicate Order ID","Unique Order ID")</f>
        <v>Unique Order ID</v>
      </c>
    </row>
    <row r="447" spans="1:13" x14ac:dyDescent="0.3">
      <c r="A447" t="s">
        <v>497</v>
      </c>
      <c r="B447" s="1"/>
      <c r="C447" t="s">
        <v>89</v>
      </c>
      <c r="D447" t="s">
        <v>43</v>
      </c>
      <c r="E447" t="s">
        <v>28</v>
      </c>
      <c r="F447" t="s">
        <v>24</v>
      </c>
      <c r="G447" t="s">
        <v>77</v>
      </c>
      <c r="H447" s="5">
        <v>11</v>
      </c>
      <c r="I447" s="3">
        <v>22569</v>
      </c>
      <c r="J447" s="10">
        <v>0</v>
      </c>
      <c r="K447" s="2">
        <v>248259</v>
      </c>
      <c r="L447" s="2">
        <f>Raw_Sales_Data3[[#This Row],[Quantity]]*Raw_Sales_Data3[[#This Row],[Unit Price]]*(Raw_Sales_Data3[[#This Row],[Discount %]]/100)</f>
        <v>0</v>
      </c>
      <c r="M447" t="str">
        <f>IF(COUNTIF(Raw_Sales_Data3[Order ID],Raw_Sales_Data3[[#This Row],[Order ID]])&gt;1,"Duplicate Order ID","Unique Order ID")</f>
        <v>Unique Order ID</v>
      </c>
    </row>
    <row r="448" spans="1:13" x14ac:dyDescent="0.3">
      <c r="A448" t="s">
        <v>498</v>
      </c>
      <c r="B448" s="1">
        <v>46044</v>
      </c>
      <c r="C448" t="s">
        <v>89</v>
      </c>
      <c r="D448" t="s">
        <v>70</v>
      </c>
      <c r="E448" t="s">
        <v>13</v>
      </c>
      <c r="F448" t="s">
        <v>14</v>
      </c>
      <c r="G448" t="s">
        <v>66</v>
      </c>
      <c r="H448" s="5">
        <v>4</v>
      </c>
      <c r="I448" s="3">
        <v>975</v>
      </c>
      <c r="J448" s="10">
        <v>0</v>
      </c>
      <c r="K448" s="2">
        <v>3900</v>
      </c>
      <c r="L448" s="2">
        <f>Raw_Sales_Data3[[#This Row],[Quantity]]*Raw_Sales_Data3[[#This Row],[Unit Price]]*(Raw_Sales_Data3[[#This Row],[Discount %]]/100)</f>
        <v>0</v>
      </c>
      <c r="M448" t="str">
        <f>IF(COUNTIF(Raw_Sales_Data3[Order ID],Raw_Sales_Data3[[#This Row],[Order ID]])&gt;1,"Duplicate Order ID","Unique Order ID")</f>
        <v>Unique Order ID</v>
      </c>
    </row>
    <row r="449" spans="1:13" x14ac:dyDescent="0.3">
      <c r="A449" t="s">
        <v>499</v>
      </c>
      <c r="B449" s="1">
        <v>46040</v>
      </c>
      <c r="C449" t="s">
        <v>45</v>
      </c>
      <c r="D449" t="s">
        <v>43</v>
      </c>
      <c r="E449" t="s">
        <v>39</v>
      </c>
      <c r="F449" t="s">
        <v>19</v>
      </c>
      <c r="G449" t="s">
        <v>120</v>
      </c>
      <c r="H449" s="5">
        <v>9</v>
      </c>
      <c r="I449" s="3">
        <v>11134</v>
      </c>
      <c r="J449" s="10">
        <v>15</v>
      </c>
      <c r="K449" s="2">
        <v>85175.1</v>
      </c>
      <c r="L449" s="2">
        <f>Raw_Sales_Data3[[#This Row],[Quantity]]*Raw_Sales_Data3[[#This Row],[Unit Price]]*(Raw_Sales_Data3[[#This Row],[Discount %]]/100)</f>
        <v>15030.9</v>
      </c>
      <c r="M449" t="str">
        <f>IF(COUNTIF(Raw_Sales_Data3[Order ID],Raw_Sales_Data3[[#This Row],[Order ID]])&gt;1,"Duplicate Order ID","Unique Order ID")</f>
        <v>Unique Order ID</v>
      </c>
    </row>
    <row r="450" spans="1:13" x14ac:dyDescent="0.3">
      <c r="A450" t="s">
        <v>500</v>
      </c>
      <c r="B450" s="1">
        <v>46090</v>
      </c>
      <c r="C450" t="s">
        <v>50</v>
      </c>
      <c r="D450" t="s">
        <v>58</v>
      </c>
      <c r="E450" t="s">
        <v>28</v>
      </c>
      <c r="F450" t="s">
        <v>24</v>
      </c>
      <c r="G450" t="s">
        <v>77</v>
      </c>
      <c r="H450" s="5">
        <v>15</v>
      </c>
      <c r="I450" s="3">
        <v>31546</v>
      </c>
      <c r="J450" s="10">
        <v>0</v>
      </c>
      <c r="K450" s="2">
        <v>473190</v>
      </c>
      <c r="L450" s="2">
        <f>Raw_Sales_Data3[[#This Row],[Quantity]]*Raw_Sales_Data3[[#This Row],[Unit Price]]*(Raw_Sales_Data3[[#This Row],[Discount %]]/100)</f>
        <v>0</v>
      </c>
      <c r="M450" t="str">
        <f>IF(COUNTIF(Raw_Sales_Data3[Order ID],Raw_Sales_Data3[[#This Row],[Order ID]])&gt;1,"Duplicate Order ID","Unique Order ID")</f>
        <v>Unique Order ID</v>
      </c>
    </row>
    <row r="451" spans="1:13" x14ac:dyDescent="0.3">
      <c r="A451" t="s">
        <v>501</v>
      </c>
      <c r="B451" s="1">
        <v>46078</v>
      </c>
      <c r="C451" t="s">
        <v>45</v>
      </c>
      <c r="D451" t="s">
        <v>70</v>
      </c>
      <c r="E451" t="s">
        <v>39</v>
      </c>
      <c r="F451" t="s">
        <v>14</v>
      </c>
      <c r="G451" t="s">
        <v>51</v>
      </c>
      <c r="H451" s="5">
        <v>1</v>
      </c>
      <c r="I451" s="3">
        <v>34133</v>
      </c>
      <c r="J451" s="10">
        <v>0</v>
      </c>
      <c r="K451" s="2">
        <v>34133</v>
      </c>
      <c r="L451" s="2">
        <f>Raw_Sales_Data3[[#This Row],[Quantity]]*Raw_Sales_Data3[[#This Row],[Unit Price]]*(Raw_Sales_Data3[[#This Row],[Discount %]]/100)</f>
        <v>0</v>
      </c>
      <c r="M451" t="str">
        <f>IF(COUNTIF(Raw_Sales_Data3[Order ID],Raw_Sales_Data3[[#This Row],[Order ID]])&gt;1,"Duplicate Order ID","Unique Order ID")</f>
        <v>Unique Order ID</v>
      </c>
    </row>
    <row r="452" spans="1:13" x14ac:dyDescent="0.3">
      <c r="A452" t="s">
        <v>502</v>
      </c>
      <c r="B452" s="1">
        <v>46068</v>
      </c>
      <c r="C452" t="s">
        <v>64</v>
      </c>
      <c r="D452" t="s">
        <v>23</v>
      </c>
      <c r="E452" t="s">
        <v>39</v>
      </c>
      <c r="F452" t="s">
        <v>19</v>
      </c>
      <c r="G452" t="s">
        <v>40</v>
      </c>
      <c r="H452" s="5">
        <v>6</v>
      </c>
      <c r="I452" s="3">
        <v>26006</v>
      </c>
      <c r="J452" s="10">
        <v>0</v>
      </c>
      <c r="K452" s="2">
        <v>156036</v>
      </c>
      <c r="L452" s="2">
        <f>Raw_Sales_Data3[[#This Row],[Quantity]]*Raw_Sales_Data3[[#This Row],[Unit Price]]*(Raw_Sales_Data3[[#This Row],[Discount %]]/100)</f>
        <v>0</v>
      </c>
      <c r="M452" t="str">
        <f>IF(COUNTIF(Raw_Sales_Data3[Order ID],Raw_Sales_Data3[[#This Row],[Order ID]])&gt;1,"Duplicate Order ID","Unique Order ID")</f>
        <v>Unique Order ID</v>
      </c>
    </row>
    <row r="453" spans="1:13" x14ac:dyDescent="0.3">
      <c r="A453" t="s">
        <v>503</v>
      </c>
      <c r="B453" s="1">
        <v>46090</v>
      </c>
      <c r="C453" t="s">
        <v>12</v>
      </c>
      <c r="D453" t="s">
        <v>23</v>
      </c>
      <c r="E453" t="s">
        <v>28</v>
      </c>
      <c r="F453" t="s">
        <v>14</v>
      </c>
      <c r="G453" t="s">
        <v>125</v>
      </c>
      <c r="H453" s="5">
        <v>14</v>
      </c>
      <c r="I453" s="3">
        <v>23843</v>
      </c>
      <c r="J453" s="10">
        <v>10</v>
      </c>
      <c r="K453" s="2">
        <v>300421.8</v>
      </c>
      <c r="L453" s="2">
        <f>Raw_Sales_Data3[[#This Row],[Quantity]]*Raw_Sales_Data3[[#This Row],[Unit Price]]*(Raw_Sales_Data3[[#This Row],[Discount %]]/100)</f>
        <v>33380.200000000004</v>
      </c>
      <c r="M453" t="str">
        <f>IF(COUNTIF(Raw_Sales_Data3[Order ID],Raw_Sales_Data3[[#This Row],[Order ID]])&gt;1,"Duplicate Order ID","Unique Order ID")</f>
        <v>Unique Order ID</v>
      </c>
    </row>
    <row r="454" spans="1:13" x14ac:dyDescent="0.3">
      <c r="A454" t="s">
        <v>504</v>
      </c>
      <c r="B454" s="1">
        <v>46104</v>
      </c>
      <c r="C454" t="s">
        <v>91</v>
      </c>
      <c r="D454" t="s">
        <v>23</v>
      </c>
      <c r="E454" t="s">
        <v>28</v>
      </c>
      <c r="F454" t="s">
        <v>14</v>
      </c>
      <c r="G454" t="s">
        <v>125</v>
      </c>
      <c r="H454" s="5">
        <v>15</v>
      </c>
      <c r="I454" s="3">
        <v>11611</v>
      </c>
      <c r="J454" s="10">
        <v>15</v>
      </c>
      <c r="K454" s="2">
        <v>148040.25</v>
      </c>
      <c r="L454" s="2">
        <f>Raw_Sales_Data3[[#This Row],[Quantity]]*Raw_Sales_Data3[[#This Row],[Unit Price]]*(Raw_Sales_Data3[[#This Row],[Discount %]]/100)</f>
        <v>26124.75</v>
      </c>
      <c r="M454" t="str">
        <f>IF(COUNTIF(Raw_Sales_Data3[Order ID],Raw_Sales_Data3[[#This Row],[Order ID]])&gt;1,"Duplicate Order ID","Unique Order ID")</f>
        <v>Unique Order ID</v>
      </c>
    </row>
    <row r="455" spans="1:13" x14ac:dyDescent="0.3">
      <c r="A455" t="s">
        <v>505</v>
      </c>
      <c r="B455" s="1">
        <v>46031</v>
      </c>
      <c r="C455" t="s">
        <v>36</v>
      </c>
      <c r="D455" t="s">
        <v>23</v>
      </c>
      <c r="E455" t="s">
        <v>18</v>
      </c>
      <c r="F455" t="s">
        <v>19</v>
      </c>
      <c r="G455" t="s">
        <v>117</v>
      </c>
      <c r="H455" s="5">
        <v>15</v>
      </c>
      <c r="I455" s="3">
        <v>7190</v>
      </c>
      <c r="J455" s="10">
        <v>20</v>
      </c>
      <c r="K455" s="2">
        <v>86280</v>
      </c>
      <c r="L455" s="2">
        <f>Raw_Sales_Data3[[#This Row],[Quantity]]*Raw_Sales_Data3[[#This Row],[Unit Price]]*(Raw_Sales_Data3[[#This Row],[Discount %]]/100)</f>
        <v>21570</v>
      </c>
      <c r="M455" t="str">
        <f>IF(COUNTIF(Raw_Sales_Data3[Order ID],Raw_Sales_Data3[[#This Row],[Order ID]])&gt;1,"Duplicate Order ID","Unique Order ID")</f>
        <v>Unique Order ID</v>
      </c>
    </row>
    <row r="456" spans="1:13" x14ac:dyDescent="0.3">
      <c r="A456" t="s">
        <v>506</v>
      </c>
      <c r="B456" s="1">
        <v>46024</v>
      </c>
      <c r="C456" t="s">
        <v>48</v>
      </c>
      <c r="D456" t="s">
        <v>23</v>
      </c>
      <c r="E456" t="s">
        <v>34</v>
      </c>
      <c r="F456" t="s">
        <v>19</v>
      </c>
      <c r="G456" t="s">
        <v>31</v>
      </c>
      <c r="H456" s="5">
        <v>9</v>
      </c>
      <c r="I456" s="3">
        <v>31908</v>
      </c>
      <c r="J456" s="10">
        <v>0</v>
      </c>
      <c r="K456" s="2">
        <v>287172</v>
      </c>
      <c r="L456" s="2">
        <f>Raw_Sales_Data3[[#This Row],[Quantity]]*Raw_Sales_Data3[[#This Row],[Unit Price]]*(Raw_Sales_Data3[[#This Row],[Discount %]]/100)</f>
        <v>0</v>
      </c>
      <c r="M456" t="str">
        <f>IF(COUNTIF(Raw_Sales_Data3[Order ID],Raw_Sales_Data3[[#This Row],[Order ID]])&gt;1,"Duplicate Order ID","Unique Order ID")</f>
        <v>Unique Order ID</v>
      </c>
    </row>
    <row r="457" spans="1:13" x14ac:dyDescent="0.3">
      <c r="A457" t="s">
        <v>507</v>
      </c>
      <c r="B457" s="1">
        <v>46079</v>
      </c>
      <c r="C457" t="s">
        <v>38</v>
      </c>
      <c r="D457" t="s">
        <v>58</v>
      </c>
      <c r="E457" t="s">
        <v>28</v>
      </c>
      <c r="F457" t="s">
        <v>14</v>
      </c>
      <c r="G457" t="s">
        <v>156</v>
      </c>
      <c r="H457" s="5">
        <v>4</v>
      </c>
      <c r="I457" s="3">
        <v>11666</v>
      </c>
      <c r="J457" s="10">
        <v>10</v>
      </c>
      <c r="K457" s="2">
        <v>41997.599999999999</v>
      </c>
      <c r="L457" s="2">
        <f>Raw_Sales_Data3[[#This Row],[Quantity]]*Raw_Sales_Data3[[#This Row],[Unit Price]]*(Raw_Sales_Data3[[#This Row],[Discount %]]/100)</f>
        <v>4666.4000000000005</v>
      </c>
      <c r="M457" t="str">
        <f>IF(COUNTIF(Raw_Sales_Data3[Order ID],Raw_Sales_Data3[[#This Row],[Order ID]])&gt;1,"Duplicate Order ID","Unique Order ID")</f>
        <v>Unique Order ID</v>
      </c>
    </row>
    <row r="458" spans="1:13" x14ac:dyDescent="0.3">
      <c r="A458" t="s">
        <v>508</v>
      </c>
      <c r="B458" s="1">
        <v>46064</v>
      </c>
      <c r="C458" t="s">
        <v>48</v>
      </c>
      <c r="D458" t="s">
        <v>43</v>
      </c>
      <c r="E458" t="s">
        <v>13</v>
      </c>
      <c r="F458" t="s">
        <v>14</v>
      </c>
      <c r="G458" t="s">
        <v>156</v>
      </c>
      <c r="H458" s="5">
        <v>9</v>
      </c>
      <c r="I458" s="3">
        <v>6587</v>
      </c>
      <c r="J458" s="10">
        <v>20</v>
      </c>
      <c r="K458" s="2">
        <v>47426.400000000001</v>
      </c>
      <c r="L458" s="2">
        <f>Raw_Sales_Data3[[#This Row],[Quantity]]*Raw_Sales_Data3[[#This Row],[Unit Price]]*(Raw_Sales_Data3[[#This Row],[Discount %]]/100)</f>
        <v>11856.6</v>
      </c>
      <c r="M458" t="str">
        <f>IF(COUNTIF(Raw_Sales_Data3[Order ID],Raw_Sales_Data3[[#This Row],[Order ID]])&gt;1,"Duplicate Order ID","Unique Order ID")</f>
        <v>Unique Order ID</v>
      </c>
    </row>
    <row r="459" spans="1:13" x14ac:dyDescent="0.3">
      <c r="A459" t="s">
        <v>509</v>
      </c>
      <c r="B459" s="1">
        <v>46028</v>
      </c>
      <c r="C459" t="s">
        <v>89</v>
      </c>
      <c r="D459" t="s">
        <v>70</v>
      </c>
      <c r="E459" t="s">
        <v>13</v>
      </c>
      <c r="F459" t="s">
        <v>24</v>
      </c>
      <c r="G459" t="s">
        <v>29</v>
      </c>
      <c r="H459" s="5">
        <v>6</v>
      </c>
      <c r="I459" s="3">
        <v>21555</v>
      </c>
      <c r="J459" s="10">
        <v>20</v>
      </c>
      <c r="K459" s="2">
        <v>103464</v>
      </c>
      <c r="L459" s="2">
        <f>Raw_Sales_Data3[[#This Row],[Quantity]]*Raw_Sales_Data3[[#This Row],[Unit Price]]*(Raw_Sales_Data3[[#This Row],[Discount %]]/100)</f>
        <v>25866</v>
      </c>
      <c r="M459" t="str">
        <f>IF(COUNTIF(Raw_Sales_Data3[Order ID],Raw_Sales_Data3[[#This Row],[Order ID]])&gt;1,"Duplicate Order ID","Unique Order ID")</f>
        <v>Unique Order ID</v>
      </c>
    </row>
    <row r="460" spans="1:13" x14ac:dyDescent="0.3">
      <c r="A460" t="s">
        <v>510</v>
      </c>
      <c r="B460" s="1">
        <v>46074</v>
      </c>
      <c r="C460" t="s">
        <v>36</v>
      </c>
      <c r="D460" t="s">
        <v>70</v>
      </c>
      <c r="E460" t="s">
        <v>28</v>
      </c>
      <c r="F460" t="s">
        <v>24</v>
      </c>
      <c r="G460" t="s">
        <v>29</v>
      </c>
      <c r="H460" s="5">
        <v>3</v>
      </c>
      <c r="I460" s="3">
        <v>2993</v>
      </c>
      <c r="J460" s="10">
        <v>15</v>
      </c>
      <c r="K460" s="2">
        <v>7632.15</v>
      </c>
      <c r="L460" s="2">
        <f>Raw_Sales_Data3[[#This Row],[Quantity]]*Raw_Sales_Data3[[#This Row],[Unit Price]]*(Raw_Sales_Data3[[#This Row],[Discount %]]/100)</f>
        <v>1346.85</v>
      </c>
      <c r="M460" t="str">
        <f>IF(COUNTIF(Raw_Sales_Data3[Order ID],Raw_Sales_Data3[[#This Row],[Order ID]])&gt;1,"Duplicate Order ID","Unique Order ID")</f>
        <v>Duplicate Order ID</v>
      </c>
    </row>
    <row r="461" spans="1:13" x14ac:dyDescent="0.3">
      <c r="A461" t="s">
        <v>510</v>
      </c>
      <c r="B461" s="1">
        <v>46087</v>
      </c>
      <c r="C461" t="s">
        <v>17</v>
      </c>
      <c r="D461" t="s">
        <v>58</v>
      </c>
      <c r="E461" t="s">
        <v>28</v>
      </c>
      <c r="F461" t="s">
        <v>19</v>
      </c>
      <c r="G461" t="s">
        <v>79</v>
      </c>
      <c r="H461" s="5">
        <v>5</v>
      </c>
      <c r="I461" s="3">
        <v>48224</v>
      </c>
      <c r="J461" s="10">
        <v>5</v>
      </c>
      <c r="K461" s="2">
        <v>229064</v>
      </c>
      <c r="L461" s="2">
        <f>Raw_Sales_Data3[[#This Row],[Quantity]]*Raw_Sales_Data3[[#This Row],[Unit Price]]*(Raw_Sales_Data3[[#This Row],[Discount %]]/100)</f>
        <v>12056</v>
      </c>
      <c r="M461" t="str">
        <f>IF(COUNTIF(Raw_Sales_Data3[Order ID],Raw_Sales_Data3[[#This Row],[Order ID]])&gt;1,"Duplicate Order ID","Unique Order ID")</f>
        <v>Duplicate Order ID</v>
      </c>
    </row>
    <row r="462" spans="1:13" x14ac:dyDescent="0.3">
      <c r="A462" t="s">
        <v>511</v>
      </c>
      <c r="B462" s="1">
        <v>46034</v>
      </c>
      <c r="C462" t="s">
        <v>17</v>
      </c>
      <c r="D462" t="s">
        <v>43</v>
      </c>
      <c r="E462" t="s">
        <v>28</v>
      </c>
      <c r="F462" t="s">
        <v>19</v>
      </c>
      <c r="G462" t="s">
        <v>31</v>
      </c>
      <c r="H462" s="5">
        <v>5</v>
      </c>
      <c r="I462" s="3">
        <v>45514</v>
      </c>
      <c r="J462" s="10">
        <v>5</v>
      </c>
      <c r="K462" s="2">
        <v>216191.5</v>
      </c>
      <c r="L462" s="2">
        <f>Raw_Sales_Data3[[#This Row],[Quantity]]*Raw_Sales_Data3[[#This Row],[Unit Price]]*(Raw_Sales_Data3[[#This Row],[Discount %]]/100)</f>
        <v>11378.5</v>
      </c>
      <c r="M462" t="str">
        <f>IF(COUNTIF(Raw_Sales_Data3[Order ID],Raw_Sales_Data3[[#This Row],[Order ID]])&gt;1,"Duplicate Order ID","Unique Order ID")</f>
        <v>Unique Order ID</v>
      </c>
    </row>
    <row r="463" spans="1:13" x14ac:dyDescent="0.3">
      <c r="A463" t="s">
        <v>512</v>
      </c>
      <c r="B463" s="1">
        <v>46060</v>
      </c>
      <c r="C463" t="s">
        <v>123</v>
      </c>
      <c r="D463" t="s">
        <v>23</v>
      </c>
      <c r="E463" t="s">
        <v>28</v>
      </c>
      <c r="F463" t="s">
        <v>24</v>
      </c>
      <c r="G463" t="s">
        <v>117</v>
      </c>
      <c r="H463" s="5">
        <v>10</v>
      </c>
      <c r="I463" s="3">
        <v>55725</v>
      </c>
      <c r="J463" s="10">
        <v>20</v>
      </c>
      <c r="K463" s="2">
        <v>445800</v>
      </c>
      <c r="L463" s="2">
        <f>Raw_Sales_Data3[[#This Row],[Quantity]]*Raw_Sales_Data3[[#This Row],[Unit Price]]*(Raw_Sales_Data3[[#This Row],[Discount %]]/100)</f>
        <v>111450</v>
      </c>
      <c r="M463" t="str">
        <f>IF(COUNTIF(Raw_Sales_Data3[Order ID],Raw_Sales_Data3[[#This Row],[Order ID]])&gt;1,"Duplicate Order ID","Unique Order ID")</f>
        <v>Unique Order ID</v>
      </c>
    </row>
    <row r="464" spans="1:13" x14ac:dyDescent="0.3">
      <c r="A464" t="s">
        <v>513</v>
      </c>
      <c r="B464" s="1">
        <v>46069</v>
      </c>
      <c r="C464" t="s">
        <v>33</v>
      </c>
      <c r="D464" t="s">
        <v>23</v>
      </c>
      <c r="E464" t="s">
        <v>28</v>
      </c>
      <c r="F464" t="s">
        <v>14</v>
      </c>
      <c r="G464" t="s">
        <v>156</v>
      </c>
      <c r="H464" s="5">
        <v>15</v>
      </c>
      <c r="I464" s="3">
        <v>9875</v>
      </c>
      <c r="J464" s="10">
        <v>20</v>
      </c>
      <c r="K464" s="2">
        <v>118500</v>
      </c>
      <c r="L464" s="2">
        <f>Raw_Sales_Data3[[#This Row],[Quantity]]*Raw_Sales_Data3[[#This Row],[Unit Price]]*(Raw_Sales_Data3[[#This Row],[Discount %]]/100)</f>
        <v>29625</v>
      </c>
      <c r="M464" t="str">
        <f>IF(COUNTIF(Raw_Sales_Data3[Order ID],Raw_Sales_Data3[[#This Row],[Order ID]])&gt;1,"Duplicate Order ID","Unique Order ID")</f>
        <v>Unique Order ID</v>
      </c>
    </row>
    <row r="465" spans="1:13" x14ac:dyDescent="0.3">
      <c r="A465" t="s">
        <v>514</v>
      </c>
      <c r="B465" s="1">
        <v>46080</v>
      </c>
      <c r="C465" t="s">
        <v>123</v>
      </c>
      <c r="D465" t="s">
        <v>70</v>
      </c>
      <c r="E465" t="s">
        <v>28</v>
      </c>
      <c r="F465" t="s">
        <v>14</v>
      </c>
      <c r="G465" t="s">
        <v>98</v>
      </c>
      <c r="H465" s="5">
        <v>1</v>
      </c>
      <c r="I465" s="3">
        <v>40303</v>
      </c>
      <c r="J465" s="10">
        <v>20</v>
      </c>
      <c r="K465" s="2">
        <v>32242.400000000001</v>
      </c>
      <c r="L465" s="2">
        <f>Raw_Sales_Data3[[#This Row],[Quantity]]*Raw_Sales_Data3[[#This Row],[Unit Price]]*(Raw_Sales_Data3[[#This Row],[Discount %]]/100)</f>
        <v>8060.6</v>
      </c>
      <c r="M465" t="str">
        <f>IF(COUNTIF(Raw_Sales_Data3[Order ID],Raw_Sales_Data3[[#This Row],[Order ID]])&gt;1,"Duplicate Order ID","Unique Order ID")</f>
        <v>Unique Order ID</v>
      </c>
    </row>
    <row r="466" spans="1:13" x14ac:dyDescent="0.3">
      <c r="A466" t="s">
        <v>515</v>
      </c>
      <c r="B466" s="1">
        <v>46090</v>
      </c>
      <c r="C466" t="s">
        <v>91</v>
      </c>
      <c r="D466" t="s">
        <v>70</v>
      </c>
      <c r="E466" t="s">
        <v>18</v>
      </c>
      <c r="F466" t="s">
        <v>19</v>
      </c>
      <c r="G466" t="s">
        <v>40</v>
      </c>
      <c r="H466" s="5">
        <v>10</v>
      </c>
      <c r="I466" s="3">
        <v>22839</v>
      </c>
      <c r="J466" s="10">
        <v>15</v>
      </c>
      <c r="K466" s="2">
        <v>194131.5</v>
      </c>
      <c r="L466" s="2">
        <f>Raw_Sales_Data3[[#This Row],[Quantity]]*Raw_Sales_Data3[[#This Row],[Unit Price]]*(Raw_Sales_Data3[[#This Row],[Discount %]]/100)</f>
        <v>34258.5</v>
      </c>
      <c r="M466" t="str">
        <f>IF(COUNTIF(Raw_Sales_Data3[Order ID],Raw_Sales_Data3[[#This Row],[Order ID]])&gt;1,"Duplicate Order ID","Unique Order ID")</f>
        <v>Unique Order ID</v>
      </c>
    </row>
    <row r="467" spans="1:13" x14ac:dyDescent="0.3">
      <c r="A467" t="s">
        <v>516</v>
      </c>
      <c r="B467" s="1">
        <v>46098</v>
      </c>
      <c r="C467" t="s">
        <v>33</v>
      </c>
      <c r="D467" t="s">
        <v>43</v>
      </c>
      <c r="E467" t="s">
        <v>13</v>
      </c>
      <c r="F467" t="s">
        <v>24</v>
      </c>
      <c r="G467" t="s">
        <v>71</v>
      </c>
      <c r="H467" s="5">
        <v>15</v>
      </c>
      <c r="I467" s="3">
        <v>3542</v>
      </c>
      <c r="J467" s="10">
        <v>5</v>
      </c>
      <c r="K467" s="2">
        <v>50473.5</v>
      </c>
      <c r="L467" s="2">
        <f>Raw_Sales_Data3[[#This Row],[Quantity]]*Raw_Sales_Data3[[#This Row],[Unit Price]]*(Raw_Sales_Data3[[#This Row],[Discount %]]/100)</f>
        <v>2656.5</v>
      </c>
      <c r="M467" t="str">
        <f>IF(COUNTIF(Raw_Sales_Data3[Order ID],Raw_Sales_Data3[[#This Row],[Order ID]])&gt;1,"Duplicate Order ID","Unique Order ID")</f>
        <v>Unique Order ID</v>
      </c>
    </row>
    <row r="468" spans="1:13" x14ac:dyDescent="0.3">
      <c r="A468" t="s">
        <v>517</v>
      </c>
      <c r="B468" s="1">
        <v>46108</v>
      </c>
      <c r="C468" t="s">
        <v>57</v>
      </c>
      <c r="D468" t="s">
        <v>58</v>
      </c>
      <c r="E468" t="s">
        <v>39</v>
      </c>
      <c r="F468" t="s">
        <v>14</v>
      </c>
      <c r="G468" t="s">
        <v>73</v>
      </c>
      <c r="H468" s="5">
        <v>6</v>
      </c>
      <c r="I468" s="3">
        <v>15727</v>
      </c>
      <c r="J468" s="10">
        <v>10</v>
      </c>
      <c r="K468" s="2">
        <v>84925.8</v>
      </c>
      <c r="L468" s="2">
        <f>Raw_Sales_Data3[[#This Row],[Quantity]]*Raw_Sales_Data3[[#This Row],[Unit Price]]*(Raw_Sales_Data3[[#This Row],[Discount %]]/100)</f>
        <v>9436.2000000000007</v>
      </c>
      <c r="M468" t="str">
        <f>IF(COUNTIF(Raw_Sales_Data3[Order ID],Raw_Sales_Data3[[#This Row],[Order ID]])&gt;1,"Duplicate Order ID","Unique Order ID")</f>
        <v>Unique Order ID</v>
      </c>
    </row>
    <row r="469" spans="1:13" x14ac:dyDescent="0.3">
      <c r="A469" t="s">
        <v>518</v>
      </c>
      <c r="B469" s="1">
        <v>46085</v>
      </c>
      <c r="C469" t="s">
        <v>62</v>
      </c>
      <c r="D469" t="s">
        <v>58</v>
      </c>
      <c r="E469" t="s">
        <v>13</v>
      </c>
      <c r="F469" t="s">
        <v>14</v>
      </c>
      <c r="G469" t="s">
        <v>156</v>
      </c>
      <c r="H469" s="5">
        <v>12</v>
      </c>
      <c r="I469" s="3">
        <v>24915</v>
      </c>
      <c r="J469" s="10">
        <v>0</v>
      </c>
      <c r="K469" s="2">
        <v>298980</v>
      </c>
      <c r="L469" s="2">
        <f>Raw_Sales_Data3[[#This Row],[Quantity]]*Raw_Sales_Data3[[#This Row],[Unit Price]]*(Raw_Sales_Data3[[#This Row],[Discount %]]/100)</f>
        <v>0</v>
      </c>
      <c r="M469" t="str">
        <f>IF(COUNTIF(Raw_Sales_Data3[Order ID],Raw_Sales_Data3[[#This Row],[Order ID]])&gt;1,"Duplicate Order ID","Unique Order ID")</f>
        <v>Unique Order ID</v>
      </c>
    </row>
    <row r="470" spans="1:13" x14ac:dyDescent="0.3">
      <c r="A470" t="s">
        <v>519</v>
      </c>
      <c r="B470" s="1">
        <v>46046</v>
      </c>
      <c r="C470" t="s">
        <v>42</v>
      </c>
      <c r="D470" t="s">
        <v>58</v>
      </c>
      <c r="E470" t="s">
        <v>28</v>
      </c>
      <c r="F470" t="s">
        <v>24</v>
      </c>
      <c r="G470" t="s">
        <v>77</v>
      </c>
      <c r="H470" s="5">
        <v>7</v>
      </c>
      <c r="I470" s="3">
        <v>25787</v>
      </c>
      <c r="J470" s="10">
        <v>0</v>
      </c>
      <c r="K470" s="2">
        <v>180509</v>
      </c>
      <c r="L470" s="2">
        <f>Raw_Sales_Data3[[#This Row],[Quantity]]*Raw_Sales_Data3[[#This Row],[Unit Price]]*(Raw_Sales_Data3[[#This Row],[Discount %]]/100)</f>
        <v>0</v>
      </c>
      <c r="M470" t="str">
        <f>IF(COUNTIF(Raw_Sales_Data3[Order ID],Raw_Sales_Data3[[#This Row],[Order ID]])&gt;1,"Duplicate Order ID","Unique Order ID")</f>
        <v>Unique Order ID</v>
      </c>
    </row>
    <row r="471" spans="1:13" x14ac:dyDescent="0.3">
      <c r="A471" t="s">
        <v>520</v>
      </c>
      <c r="B471" s="1">
        <v>46040</v>
      </c>
      <c r="C471" t="s">
        <v>86</v>
      </c>
      <c r="D471" t="s">
        <v>58</v>
      </c>
      <c r="E471" t="s">
        <v>18</v>
      </c>
      <c r="F471" t="s">
        <v>19</v>
      </c>
      <c r="G471" t="s">
        <v>31</v>
      </c>
      <c r="H471" s="5">
        <v>11</v>
      </c>
      <c r="I471" s="3">
        <v>12348</v>
      </c>
      <c r="J471" s="10">
        <v>0</v>
      </c>
      <c r="K471" s="2">
        <v>135828</v>
      </c>
      <c r="L471" s="2">
        <f>Raw_Sales_Data3[[#This Row],[Quantity]]*Raw_Sales_Data3[[#This Row],[Unit Price]]*(Raw_Sales_Data3[[#This Row],[Discount %]]/100)</f>
        <v>0</v>
      </c>
      <c r="M471" t="str">
        <f>IF(COUNTIF(Raw_Sales_Data3[Order ID],Raw_Sales_Data3[[#This Row],[Order ID]])&gt;1,"Duplicate Order ID","Unique Order ID")</f>
        <v>Unique Order ID</v>
      </c>
    </row>
    <row r="472" spans="1:13" x14ac:dyDescent="0.3">
      <c r="A472" t="s">
        <v>521</v>
      </c>
      <c r="B472" s="1">
        <v>46047</v>
      </c>
      <c r="C472" t="s">
        <v>33</v>
      </c>
      <c r="D472" t="s">
        <v>43</v>
      </c>
      <c r="E472" t="s">
        <v>39</v>
      </c>
      <c r="F472" t="s">
        <v>19</v>
      </c>
      <c r="G472" t="s">
        <v>117</v>
      </c>
      <c r="H472" s="5">
        <v>14</v>
      </c>
      <c r="I472" s="3">
        <v>9892</v>
      </c>
      <c r="J472" s="10">
        <v>0</v>
      </c>
      <c r="K472" s="2">
        <v>138488</v>
      </c>
      <c r="L472" s="2">
        <f>Raw_Sales_Data3[[#This Row],[Quantity]]*Raw_Sales_Data3[[#This Row],[Unit Price]]*(Raw_Sales_Data3[[#This Row],[Discount %]]/100)</f>
        <v>0</v>
      </c>
      <c r="M472" t="str">
        <f>IF(COUNTIF(Raw_Sales_Data3[Order ID],Raw_Sales_Data3[[#This Row],[Order ID]])&gt;1,"Duplicate Order ID","Unique Order ID")</f>
        <v>Unique Order ID</v>
      </c>
    </row>
    <row r="473" spans="1:13" x14ac:dyDescent="0.3">
      <c r="A473" t="s">
        <v>522</v>
      </c>
      <c r="B473" s="1">
        <v>46092</v>
      </c>
      <c r="C473" t="s">
        <v>45</v>
      </c>
      <c r="D473" t="s">
        <v>23</v>
      </c>
      <c r="E473" t="s">
        <v>18</v>
      </c>
      <c r="F473" t="s">
        <v>24</v>
      </c>
      <c r="G473" t="s">
        <v>71</v>
      </c>
      <c r="H473" s="5">
        <v>11</v>
      </c>
      <c r="I473" s="3">
        <v>25134</v>
      </c>
      <c r="J473" s="10">
        <v>20</v>
      </c>
      <c r="K473" s="2">
        <v>221179.2</v>
      </c>
      <c r="L473" s="2">
        <f>Raw_Sales_Data3[[#This Row],[Quantity]]*Raw_Sales_Data3[[#This Row],[Unit Price]]*(Raw_Sales_Data3[[#This Row],[Discount %]]/100)</f>
        <v>55294.8</v>
      </c>
      <c r="M473" t="str">
        <f>IF(COUNTIF(Raw_Sales_Data3[Order ID],Raw_Sales_Data3[[#This Row],[Order ID]])&gt;1,"Duplicate Order ID","Unique Order ID")</f>
        <v>Unique Order ID</v>
      </c>
    </row>
    <row r="474" spans="1:13" x14ac:dyDescent="0.3">
      <c r="A474" t="s">
        <v>523</v>
      </c>
      <c r="B474" s="1"/>
      <c r="C474" t="s">
        <v>86</v>
      </c>
      <c r="D474" t="s">
        <v>23</v>
      </c>
      <c r="E474" t="s">
        <v>18</v>
      </c>
      <c r="F474" t="s">
        <v>14</v>
      </c>
      <c r="G474" t="s">
        <v>125</v>
      </c>
      <c r="H474" s="5">
        <v>12</v>
      </c>
      <c r="I474" s="3">
        <v>48239</v>
      </c>
      <c r="J474" s="10">
        <v>0</v>
      </c>
      <c r="K474" s="2">
        <v>578868</v>
      </c>
      <c r="L474" s="2">
        <f>Raw_Sales_Data3[[#This Row],[Quantity]]*Raw_Sales_Data3[[#This Row],[Unit Price]]*(Raw_Sales_Data3[[#This Row],[Discount %]]/100)</f>
        <v>0</v>
      </c>
      <c r="M474" t="str">
        <f>IF(COUNTIF(Raw_Sales_Data3[Order ID],Raw_Sales_Data3[[#This Row],[Order ID]])&gt;1,"Duplicate Order ID","Unique Order ID")</f>
        <v>Unique Order ID</v>
      </c>
    </row>
    <row r="475" spans="1:13" x14ac:dyDescent="0.3">
      <c r="A475" t="s">
        <v>524</v>
      </c>
      <c r="B475" s="1">
        <v>46089</v>
      </c>
      <c r="C475" t="s">
        <v>64</v>
      </c>
      <c r="D475" t="s">
        <v>58</v>
      </c>
      <c r="E475" t="s">
        <v>39</v>
      </c>
      <c r="F475" t="s">
        <v>24</v>
      </c>
      <c r="G475" t="s">
        <v>71</v>
      </c>
      <c r="H475" s="5">
        <v>3</v>
      </c>
      <c r="I475" s="3">
        <v>27288</v>
      </c>
      <c r="J475" s="10">
        <v>0</v>
      </c>
      <c r="K475" s="2">
        <v>81864</v>
      </c>
      <c r="L475" s="2">
        <f>Raw_Sales_Data3[[#This Row],[Quantity]]*Raw_Sales_Data3[[#This Row],[Unit Price]]*(Raw_Sales_Data3[[#This Row],[Discount %]]/100)</f>
        <v>0</v>
      </c>
      <c r="M475" t="str">
        <f>IF(COUNTIF(Raw_Sales_Data3[Order ID],Raw_Sales_Data3[[#This Row],[Order ID]])&gt;1,"Duplicate Order ID","Unique Order ID")</f>
        <v>Unique Order ID</v>
      </c>
    </row>
    <row r="476" spans="1:13" x14ac:dyDescent="0.3">
      <c r="A476" t="s">
        <v>525</v>
      </c>
      <c r="B476" s="1">
        <v>46109</v>
      </c>
      <c r="C476" t="s">
        <v>57</v>
      </c>
      <c r="D476" t="s">
        <v>58</v>
      </c>
      <c r="E476" t="s">
        <v>13</v>
      </c>
      <c r="F476" t="s">
        <v>19</v>
      </c>
      <c r="G476" t="s">
        <v>46</v>
      </c>
      <c r="H476" s="5">
        <v>3</v>
      </c>
      <c r="I476" s="3">
        <v>46668</v>
      </c>
      <c r="J476" s="10">
        <v>5</v>
      </c>
      <c r="K476" s="2">
        <v>133003.79999999999</v>
      </c>
      <c r="L476" s="2">
        <f>Raw_Sales_Data3[[#This Row],[Quantity]]*Raw_Sales_Data3[[#This Row],[Unit Price]]*(Raw_Sales_Data3[[#This Row],[Discount %]]/100)</f>
        <v>7000.2000000000007</v>
      </c>
      <c r="M476" t="str">
        <f>IF(COUNTIF(Raw_Sales_Data3[Order ID],Raw_Sales_Data3[[#This Row],[Order ID]])&gt;1,"Duplicate Order ID","Unique Order ID")</f>
        <v>Unique Order ID</v>
      </c>
    </row>
    <row r="477" spans="1:13" x14ac:dyDescent="0.3">
      <c r="A477" t="s">
        <v>526</v>
      </c>
      <c r="B477" s="1">
        <v>46053</v>
      </c>
      <c r="C477" t="s">
        <v>27</v>
      </c>
      <c r="D477" t="s">
        <v>70</v>
      </c>
      <c r="E477" t="s">
        <v>39</v>
      </c>
      <c r="F477" t="s">
        <v>24</v>
      </c>
      <c r="G477" t="s">
        <v>25</v>
      </c>
      <c r="H477" s="5">
        <v>2</v>
      </c>
      <c r="I477" s="3">
        <v>5860</v>
      </c>
      <c r="J477" s="10">
        <v>20</v>
      </c>
      <c r="K477" s="2">
        <v>9376</v>
      </c>
      <c r="L477" s="2">
        <f>Raw_Sales_Data3[[#This Row],[Quantity]]*Raw_Sales_Data3[[#This Row],[Unit Price]]*(Raw_Sales_Data3[[#This Row],[Discount %]]/100)</f>
        <v>2344</v>
      </c>
      <c r="M477" t="str">
        <f>IF(COUNTIF(Raw_Sales_Data3[Order ID],Raw_Sales_Data3[[#This Row],[Order ID]])&gt;1,"Duplicate Order ID","Unique Order ID")</f>
        <v>Unique Order ID</v>
      </c>
    </row>
    <row r="478" spans="1:13" x14ac:dyDescent="0.3">
      <c r="A478" t="s">
        <v>527</v>
      </c>
      <c r="B478" s="1">
        <v>46078</v>
      </c>
      <c r="C478" t="s">
        <v>38</v>
      </c>
      <c r="D478" t="s">
        <v>43</v>
      </c>
      <c r="E478" t="s">
        <v>13</v>
      </c>
      <c r="F478" t="s">
        <v>24</v>
      </c>
      <c r="G478" t="s">
        <v>25</v>
      </c>
      <c r="H478" s="5">
        <v>14</v>
      </c>
      <c r="I478" s="3">
        <v>40195</v>
      </c>
      <c r="J478" s="10">
        <v>0</v>
      </c>
      <c r="K478" s="2">
        <v>562730</v>
      </c>
      <c r="L478" s="2">
        <f>Raw_Sales_Data3[[#This Row],[Quantity]]*Raw_Sales_Data3[[#This Row],[Unit Price]]*(Raw_Sales_Data3[[#This Row],[Discount %]]/100)</f>
        <v>0</v>
      </c>
      <c r="M478" t="str">
        <f>IF(COUNTIF(Raw_Sales_Data3[Order ID],Raw_Sales_Data3[[#This Row],[Order ID]])&gt;1,"Duplicate Order ID","Unique Order ID")</f>
        <v>Unique Order ID</v>
      </c>
    </row>
    <row r="479" spans="1:13" x14ac:dyDescent="0.3">
      <c r="A479" t="s">
        <v>528</v>
      </c>
      <c r="B479" s="1">
        <v>46040</v>
      </c>
      <c r="C479" t="s">
        <v>54</v>
      </c>
      <c r="D479" t="s">
        <v>70</v>
      </c>
      <c r="E479" t="s">
        <v>34</v>
      </c>
      <c r="F479" t="s">
        <v>24</v>
      </c>
      <c r="G479" t="s">
        <v>77</v>
      </c>
      <c r="H479" s="5">
        <v>13</v>
      </c>
      <c r="I479" s="3">
        <v>41262</v>
      </c>
      <c r="J479" s="10">
        <v>20</v>
      </c>
      <c r="K479" s="2">
        <v>429124.8</v>
      </c>
      <c r="L479" s="2">
        <f>Raw_Sales_Data3[[#This Row],[Quantity]]*Raw_Sales_Data3[[#This Row],[Unit Price]]*(Raw_Sales_Data3[[#This Row],[Discount %]]/100)</f>
        <v>107281.20000000001</v>
      </c>
      <c r="M479" t="str">
        <f>IF(COUNTIF(Raw_Sales_Data3[Order ID],Raw_Sales_Data3[[#This Row],[Order ID]])&gt;1,"Duplicate Order ID","Unique Order ID")</f>
        <v>Unique Order ID</v>
      </c>
    </row>
    <row r="480" spans="1:13" x14ac:dyDescent="0.3">
      <c r="A480" t="s">
        <v>529</v>
      </c>
      <c r="B480" s="1">
        <v>46065</v>
      </c>
      <c r="C480" t="s">
        <v>38</v>
      </c>
      <c r="D480" t="s">
        <v>70</v>
      </c>
      <c r="E480" t="s">
        <v>18</v>
      </c>
      <c r="F480" t="s">
        <v>19</v>
      </c>
      <c r="G480" t="s">
        <v>31</v>
      </c>
      <c r="H480" s="5">
        <v>8</v>
      </c>
      <c r="I480" s="3">
        <v>16849</v>
      </c>
      <c r="J480" s="10">
        <v>0</v>
      </c>
      <c r="K480" s="2">
        <v>134792</v>
      </c>
      <c r="L480" s="2">
        <f>Raw_Sales_Data3[[#This Row],[Quantity]]*Raw_Sales_Data3[[#This Row],[Unit Price]]*(Raw_Sales_Data3[[#This Row],[Discount %]]/100)</f>
        <v>0</v>
      </c>
      <c r="M480" t="str">
        <f>IF(COUNTIF(Raw_Sales_Data3[Order ID],Raw_Sales_Data3[[#This Row],[Order ID]])&gt;1,"Duplicate Order ID","Unique Order ID")</f>
        <v>Unique Order ID</v>
      </c>
    </row>
    <row r="481" spans="1:13" x14ac:dyDescent="0.3">
      <c r="A481" t="s">
        <v>530</v>
      </c>
      <c r="B481" s="1">
        <v>46031</v>
      </c>
      <c r="C481" t="s">
        <v>27</v>
      </c>
      <c r="D481" t="s">
        <v>23</v>
      </c>
      <c r="E481" t="s">
        <v>13</v>
      </c>
      <c r="F481" t="s">
        <v>14</v>
      </c>
      <c r="G481" t="s">
        <v>156</v>
      </c>
      <c r="H481" s="5">
        <v>10</v>
      </c>
      <c r="I481" s="3">
        <v>25651</v>
      </c>
      <c r="J481" s="10">
        <v>10</v>
      </c>
      <c r="K481" s="2">
        <v>230859</v>
      </c>
      <c r="L481" s="2">
        <f>Raw_Sales_Data3[[#This Row],[Quantity]]*Raw_Sales_Data3[[#This Row],[Unit Price]]*(Raw_Sales_Data3[[#This Row],[Discount %]]/100)</f>
        <v>25651</v>
      </c>
      <c r="M481" t="str">
        <f>IF(COUNTIF(Raw_Sales_Data3[Order ID],Raw_Sales_Data3[[#This Row],[Order ID]])&gt;1,"Duplicate Order ID","Unique Order ID")</f>
        <v>Unique Order ID</v>
      </c>
    </row>
    <row r="482" spans="1:13" x14ac:dyDescent="0.3">
      <c r="A482" t="s">
        <v>531</v>
      </c>
      <c r="B482" s="1">
        <v>46034</v>
      </c>
      <c r="C482" t="s">
        <v>86</v>
      </c>
      <c r="D482" t="s">
        <v>23</v>
      </c>
      <c r="E482" t="s">
        <v>39</v>
      </c>
      <c r="F482" t="s">
        <v>24</v>
      </c>
      <c r="G482" t="s">
        <v>55</v>
      </c>
      <c r="H482" s="5">
        <v>9</v>
      </c>
      <c r="I482" s="3">
        <v>36422</v>
      </c>
      <c r="J482" s="10">
        <v>15</v>
      </c>
      <c r="K482" s="2">
        <v>278628.3</v>
      </c>
      <c r="L482" s="2">
        <f>Raw_Sales_Data3[[#This Row],[Quantity]]*Raw_Sales_Data3[[#This Row],[Unit Price]]*(Raw_Sales_Data3[[#This Row],[Discount %]]/100)</f>
        <v>49169.7</v>
      </c>
      <c r="M482" t="str">
        <f>IF(COUNTIF(Raw_Sales_Data3[Order ID],Raw_Sales_Data3[[#This Row],[Order ID]])&gt;1,"Duplicate Order ID","Unique Order ID")</f>
        <v>Unique Order ID</v>
      </c>
    </row>
    <row r="483" spans="1:13" x14ac:dyDescent="0.3">
      <c r="A483" t="s">
        <v>532</v>
      </c>
      <c r="B483" s="1">
        <v>46100</v>
      </c>
      <c r="C483" t="s">
        <v>89</v>
      </c>
      <c r="D483" t="s">
        <v>70</v>
      </c>
      <c r="E483" t="s">
        <v>39</v>
      </c>
      <c r="F483" t="s">
        <v>14</v>
      </c>
      <c r="G483" t="s">
        <v>73</v>
      </c>
      <c r="H483" s="5">
        <v>1</v>
      </c>
      <c r="I483" s="3">
        <v>38687</v>
      </c>
      <c r="J483" s="10">
        <v>0</v>
      </c>
      <c r="K483" s="2">
        <v>38687</v>
      </c>
      <c r="L483" s="2">
        <f>Raw_Sales_Data3[[#This Row],[Quantity]]*Raw_Sales_Data3[[#This Row],[Unit Price]]*(Raw_Sales_Data3[[#This Row],[Discount %]]/100)</f>
        <v>0</v>
      </c>
      <c r="M483" t="str">
        <f>IF(COUNTIF(Raw_Sales_Data3[Order ID],Raw_Sales_Data3[[#This Row],[Order ID]])&gt;1,"Duplicate Order ID","Unique Order ID")</f>
        <v>Unique Order ID</v>
      </c>
    </row>
    <row r="484" spans="1:13" x14ac:dyDescent="0.3">
      <c r="A484" t="s">
        <v>533</v>
      </c>
      <c r="B484" s="1">
        <v>46105</v>
      </c>
      <c r="C484" t="s">
        <v>48</v>
      </c>
      <c r="D484" t="s">
        <v>23</v>
      </c>
      <c r="E484" t="s">
        <v>28</v>
      </c>
      <c r="F484" t="s">
        <v>19</v>
      </c>
      <c r="G484" t="s">
        <v>79</v>
      </c>
      <c r="H484" s="5">
        <v>8</v>
      </c>
      <c r="I484" s="3">
        <v>9095</v>
      </c>
      <c r="J484" s="10">
        <v>20</v>
      </c>
      <c r="K484" s="2">
        <v>58208</v>
      </c>
      <c r="L484" s="2">
        <f>Raw_Sales_Data3[[#This Row],[Quantity]]*Raw_Sales_Data3[[#This Row],[Unit Price]]*(Raw_Sales_Data3[[#This Row],[Discount %]]/100)</f>
        <v>14552</v>
      </c>
      <c r="M484" t="str">
        <f>IF(COUNTIF(Raw_Sales_Data3[Order ID],Raw_Sales_Data3[[#This Row],[Order ID]])&gt;1,"Duplicate Order ID","Unique Order ID")</f>
        <v>Unique Order ID</v>
      </c>
    </row>
    <row r="485" spans="1:13" x14ac:dyDescent="0.3">
      <c r="A485" t="s">
        <v>534</v>
      </c>
      <c r="B485" s="1">
        <v>46070</v>
      </c>
      <c r="C485" t="s">
        <v>69</v>
      </c>
      <c r="D485" t="s">
        <v>70</v>
      </c>
      <c r="E485" t="s">
        <v>39</v>
      </c>
      <c r="F485" t="s">
        <v>14</v>
      </c>
      <c r="G485" t="s">
        <v>125</v>
      </c>
      <c r="H485" s="5">
        <v>9</v>
      </c>
      <c r="I485" s="3">
        <v>34377</v>
      </c>
      <c r="J485" s="10">
        <v>0</v>
      </c>
      <c r="K485" s="2">
        <v>309393</v>
      </c>
      <c r="L485" s="2">
        <f>Raw_Sales_Data3[[#This Row],[Quantity]]*Raw_Sales_Data3[[#This Row],[Unit Price]]*(Raw_Sales_Data3[[#This Row],[Discount %]]/100)</f>
        <v>0</v>
      </c>
      <c r="M485" t="str">
        <f>IF(COUNTIF(Raw_Sales_Data3[Order ID],Raw_Sales_Data3[[#This Row],[Order ID]])&gt;1,"Duplicate Order ID","Unique Order ID")</f>
        <v>Unique Order ID</v>
      </c>
    </row>
    <row r="486" spans="1:13" x14ac:dyDescent="0.3">
      <c r="A486" t="s">
        <v>535</v>
      </c>
      <c r="B486" s="1">
        <v>46046</v>
      </c>
      <c r="C486" t="s">
        <v>36</v>
      </c>
      <c r="D486" t="s">
        <v>23</v>
      </c>
      <c r="E486" t="s">
        <v>18</v>
      </c>
      <c r="F486" t="s">
        <v>14</v>
      </c>
      <c r="G486" t="s">
        <v>103</v>
      </c>
      <c r="H486" s="5">
        <v>3</v>
      </c>
      <c r="I486" s="3">
        <v>48543</v>
      </c>
      <c r="J486" s="10">
        <v>5</v>
      </c>
      <c r="K486" s="2">
        <v>138347.54999999999</v>
      </c>
      <c r="L486" s="2">
        <f>Raw_Sales_Data3[[#This Row],[Quantity]]*Raw_Sales_Data3[[#This Row],[Unit Price]]*(Raw_Sales_Data3[[#This Row],[Discount %]]/100)</f>
        <v>7281.4500000000007</v>
      </c>
      <c r="M486" t="str">
        <f>IF(COUNTIF(Raw_Sales_Data3[Order ID],Raw_Sales_Data3[[#This Row],[Order ID]])&gt;1,"Duplicate Order ID","Unique Order ID")</f>
        <v>Unique Order ID</v>
      </c>
    </row>
    <row r="487" spans="1:13" x14ac:dyDescent="0.3">
      <c r="A487" t="s">
        <v>536</v>
      </c>
      <c r="B487" s="1">
        <v>46025</v>
      </c>
      <c r="C487" t="s">
        <v>12</v>
      </c>
      <c r="D487" t="s">
        <v>43</v>
      </c>
      <c r="E487" t="s">
        <v>18</v>
      </c>
      <c r="F487" t="s">
        <v>24</v>
      </c>
      <c r="G487" t="s">
        <v>77</v>
      </c>
      <c r="H487" s="5">
        <v>12</v>
      </c>
      <c r="I487" s="3">
        <v>34036</v>
      </c>
      <c r="J487" s="10">
        <v>20</v>
      </c>
      <c r="K487" s="2">
        <v>326745.59999999998</v>
      </c>
      <c r="L487" s="2">
        <f>Raw_Sales_Data3[[#This Row],[Quantity]]*Raw_Sales_Data3[[#This Row],[Unit Price]]*(Raw_Sales_Data3[[#This Row],[Discount %]]/100)</f>
        <v>81686.400000000009</v>
      </c>
      <c r="M487" t="str">
        <f>IF(COUNTIF(Raw_Sales_Data3[Order ID],Raw_Sales_Data3[[#This Row],[Order ID]])&gt;1,"Duplicate Order ID","Unique Order ID")</f>
        <v>Unique Order ID</v>
      </c>
    </row>
    <row r="488" spans="1:13" x14ac:dyDescent="0.3">
      <c r="A488" t="s">
        <v>537</v>
      </c>
      <c r="B488" s="1">
        <v>46046</v>
      </c>
      <c r="C488" t="s">
        <v>22</v>
      </c>
      <c r="D488" t="s">
        <v>70</v>
      </c>
      <c r="E488" t="s">
        <v>39</v>
      </c>
      <c r="F488" t="s">
        <v>24</v>
      </c>
      <c r="G488" t="s">
        <v>29</v>
      </c>
      <c r="H488" s="5">
        <v>5</v>
      </c>
      <c r="I488" s="3">
        <v>58399</v>
      </c>
      <c r="J488" s="10">
        <v>15</v>
      </c>
      <c r="K488" s="2">
        <v>248195.75</v>
      </c>
      <c r="L488" s="2">
        <f>Raw_Sales_Data3[[#This Row],[Quantity]]*Raw_Sales_Data3[[#This Row],[Unit Price]]*(Raw_Sales_Data3[[#This Row],[Discount %]]/100)</f>
        <v>43799.25</v>
      </c>
      <c r="M488" t="str">
        <f>IF(COUNTIF(Raw_Sales_Data3[Order ID],Raw_Sales_Data3[[#This Row],[Order ID]])&gt;1,"Duplicate Order ID","Unique Order ID")</f>
        <v>Unique Order ID</v>
      </c>
    </row>
    <row r="489" spans="1:13" x14ac:dyDescent="0.3">
      <c r="A489" t="s">
        <v>538</v>
      </c>
      <c r="B489" s="1">
        <v>46050</v>
      </c>
      <c r="C489" t="s">
        <v>42</v>
      </c>
      <c r="D489" t="s">
        <v>43</v>
      </c>
      <c r="E489" t="s">
        <v>39</v>
      </c>
      <c r="F489" t="s">
        <v>24</v>
      </c>
      <c r="G489" t="s">
        <v>29</v>
      </c>
      <c r="H489" s="5">
        <v>1</v>
      </c>
      <c r="I489" s="3">
        <v>5305</v>
      </c>
      <c r="J489" s="10">
        <v>0</v>
      </c>
      <c r="K489" s="2">
        <v>5305</v>
      </c>
      <c r="L489" s="2">
        <f>Raw_Sales_Data3[[#This Row],[Quantity]]*Raw_Sales_Data3[[#This Row],[Unit Price]]*(Raw_Sales_Data3[[#This Row],[Discount %]]/100)</f>
        <v>0</v>
      </c>
      <c r="M489" t="str">
        <f>IF(COUNTIF(Raw_Sales_Data3[Order ID],Raw_Sales_Data3[[#This Row],[Order ID]])&gt;1,"Duplicate Order ID","Unique Order ID")</f>
        <v>Unique Order ID</v>
      </c>
    </row>
    <row r="490" spans="1:13" x14ac:dyDescent="0.3">
      <c r="A490" t="s">
        <v>539</v>
      </c>
      <c r="B490" s="1">
        <v>46082</v>
      </c>
      <c r="C490" t="s">
        <v>33</v>
      </c>
      <c r="D490" t="s">
        <v>70</v>
      </c>
      <c r="E490" t="s">
        <v>18</v>
      </c>
      <c r="F490" t="s">
        <v>14</v>
      </c>
      <c r="G490" t="s">
        <v>66</v>
      </c>
      <c r="H490" s="5">
        <v>7</v>
      </c>
      <c r="I490" s="3">
        <v>25489</v>
      </c>
      <c r="J490" s="10">
        <v>0</v>
      </c>
      <c r="K490" s="2">
        <v>178423</v>
      </c>
      <c r="L490" s="2">
        <f>Raw_Sales_Data3[[#This Row],[Quantity]]*Raw_Sales_Data3[[#This Row],[Unit Price]]*(Raw_Sales_Data3[[#This Row],[Discount %]]/100)</f>
        <v>0</v>
      </c>
      <c r="M490" t="str">
        <f>IF(COUNTIF(Raw_Sales_Data3[Order ID],Raw_Sales_Data3[[#This Row],[Order ID]])&gt;1,"Duplicate Order ID","Unique Order ID")</f>
        <v>Unique Order ID</v>
      </c>
    </row>
    <row r="491" spans="1:13" x14ac:dyDescent="0.3">
      <c r="A491" t="s">
        <v>540</v>
      </c>
      <c r="B491" s="1">
        <v>46041</v>
      </c>
      <c r="C491" t="s">
        <v>62</v>
      </c>
      <c r="D491" t="s">
        <v>43</v>
      </c>
      <c r="E491" t="s">
        <v>39</v>
      </c>
      <c r="F491" t="s">
        <v>19</v>
      </c>
      <c r="G491" t="s">
        <v>117</v>
      </c>
      <c r="H491" s="5">
        <v>4</v>
      </c>
      <c r="I491" s="3">
        <v>34614</v>
      </c>
      <c r="J491" s="10">
        <v>0</v>
      </c>
      <c r="K491" s="2">
        <v>138456</v>
      </c>
      <c r="L491" s="2">
        <f>Raw_Sales_Data3[[#This Row],[Quantity]]*Raw_Sales_Data3[[#This Row],[Unit Price]]*(Raw_Sales_Data3[[#This Row],[Discount %]]/100)</f>
        <v>0</v>
      </c>
      <c r="M491" t="str">
        <f>IF(COUNTIF(Raw_Sales_Data3[Order ID],Raw_Sales_Data3[[#This Row],[Order ID]])&gt;1,"Duplicate Order ID","Unique Order ID")</f>
        <v>Unique Order ID</v>
      </c>
    </row>
    <row r="492" spans="1:13" x14ac:dyDescent="0.3">
      <c r="A492" t="s">
        <v>541</v>
      </c>
      <c r="B492" s="1">
        <v>46059</v>
      </c>
      <c r="C492" t="s">
        <v>48</v>
      </c>
      <c r="D492" t="s">
        <v>58</v>
      </c>
      <c r="E492" t="s">
        <v>18</v>
      </c>
      <c r="F492" t="s">
        <v>14</v>
      </c>
      <c r="G492" t="s">
        <v>51</v>
      </c>
      <c r="H492" s="5">
        <v>10</v>
      </c>
      <c r="I492" s="3">
        <v>15294</v>
      </c>
      <c r="J492" s="10">
        <v>0</v>
      </c>
      <c r="K492" s="2">
        <v>152940</v>
      </c>
      <c r="L492" s="2">
        <f>Raw_Sales_Data3[[#This Row],[Quantity]]*Raw_Sales_Data3[[#This Row],[Unit Price]]*(Raw_Sales_Data3[[#This Row],[Discount %]]/100)</f>
        <v>0</v>
      </c>
      <c r="M492" t="str">
        <f>IF(COUNTIF(Raw_Sales_Data3[Order ID],Raw_Sales_Data3[[#This Row],[Order ID]])&gt;1,"Duplicate Order ID","Unique Order ID")</f>
        <v>Unique Order ID</v>
      </c>
    </row>
    <row r="493" spans="1:13" x14ac:dyDescent="0.3">
      <c r="A493" t="s">
        <v>542</v>
      </c>
      <c r="B493" s="1">
        <v>46031</v>
      </c>
      <c r="C493" t="s">
        <v>17</v>
      </c>
      <c r="D493" t="s">
        <v>70</v>
      </c>
      <c r="E493" t="s">
        <v>39</v>
      </c>
      <c r="F493" t="s">
        <v>14</v>
      </c>
      <c r="G493" t="s">
        <v>73</v>
      </c>
      <c r="H493" s="5">
        <v>1</v>
      </c>
      <c r="I493" s="3">
        <v>3101</v>
      </c>
      <c r="J493" s="10">
        <v>0</v>
      </c>
      <c r="K493" s="2">
        <v>3101</v>
      </c>
      <c r="L493" s="2">
        <f>Raw_Sales_Data3[[#This Row],[Quantity]]*Raw_Sales_Data3[[#This Row],[Unit Price]]*(Raw_Sales_Data3[[#This Row],[Discount %]]/100)</f>
        <v>0</v>
      </c>
      <c r="M493" t="str">
        <f>IF(COUNTIF(Raw_Sales_Data3[Order ID],Raw_Sales_Data3[[#This Row],[Order ID]])&gt;1,"Duplicate Order ID","Unique Order ID")</f>
        <v>Unique Order ID</v>
      </c>
    </row>
    <row r="494" spans="1:13" x14ac:dyDescent="0.3">
      <c r="A494" t="s">
        <v>543</v>
      </c>
      <c r="B494" s="1">
        <v>46072</v>
      </c>
      <c r="C494" t="s">
        <v>38</v>
      </c>
      <c r="D494" t="s">
        <v>70</v>
      </c>
      <c r="E494" t="s">
        <v>39</v>
      </c>
      <c r="F494" t="s">
        <v>14</v>
      </c>
      <c r="G494" t="s">
        <v>156</v>
      </c>
      <c r="H494" s="5">
        <v>8</v>
      </c>
      <c r="I494" s="3">
        <v>24750</v>
      </c>
      <c r="J494" s="10">
        <v>20</v>
      </c>
      <c r="K494" s="2">
        <v>158400</v>
      </c>
      <c r="L494" s="2">
        <f>Raw_Sales_Data3[[#This Row],[Quantity]]*Raw_Sales_Data3[[#This Row],[Unit Price]]*(Raw_Sales_Data3[[#This Row],[Discount %]]/100)</f>
        <v>39600</v>
      </c>
      <c r="M494" t="str">
        <f>IF(COUNTIF(Raw_Sales_Data3[Order ID],Raw_Sales_Data3[[#This Row],[Order ID]])&gt;1,"Duplicate Order ID","Unique Order ID")</f>
        <v>Unique Order ID</v>
      </c>
    </row>
    <row r="495" spans="1:13" x14ac:dyDescent="0.3">
      <c r="A495" t="s">
        <v>544</v>
      </c>
      <c r="B495" s="1">
        <v>46099</v>
      </c>
      <c r="C495" t="s">
        <v>86</v>
      </c>
      <c r="D495" t="s">
        <v>23</v>
      </c>
      <c r="E495" t="s">
        <v>18</v>
      </c>
      <c r="F495" t="s">
        <v>24</v>
      </c>
      <c r="G495" t="s">
        <v>53</v>
      </c>
      <c r="H495" s="5">
        <v>1</v>
      </c>
      <c r="I495" s="3">
        <v>19498</v>
      </c>
      <c r="J495" s="10">
        <v>15</v>
      </c>
      <c r="K495" s="2">
        <v>16573.3</v>
      </c>
      <c r="L495" s="2">
        <f>Raw_Sales_Data3[[#This Row],[Quantity]]*Raw_Sales_Data3[[#This Row],[Unit Price]]*(Raw_Sales_Data3[[#This Row],[Discount %]]/100)</f>
        <v>2924.7</v>
      </c>
      <c r="M495" t="str">
        <f>IF(COUNTIF(Raw_Sales_Data3[Order ID],Raw_Sales_Data3[[#This Row],[Order ID]])&gt;1,"Duplicate Order ID","Unique Order ID")</f>
        <v>Unique Order ID</v>
      </c>
    </row>
    <row r="496" spans="1:13" x14ac:dyDescent="0.3">
      <c r="A496" t="s">
        <v>545</v>
      </c>
      <c r="B496" s="1">
        <v>46041</v>
      </c>
      <c r="C496" t="s">
        <v>86</v>
      </c>
      <c r="D496" t="s">
        <v>58</v>
      </c>
      <c r="E496" t="s">
        <v>28</v>
      </c>
      <c r="F496" t="s">
        <v>14</v>
      </c>
      <c r="G496" t="s">
        <v>103</v>
      </c>
      <c r="H496" s="5">
        <v>13</v>
      </c>
      <c r="I496" s="3">
        <v>48328</v>
      </c>
      <c r="J496" s="10">
        <v>10</v>
      </c>
      <c r="K496" s="2">
        <v>565437.6</v>
      </c>
      <c r="L496" s="2">
        <f>Raw_Sales_Data3[[#This Row],[Quantity]]*Raw_Sales_Data3[[#This Row],[Unit Price]]*(Raw_Sales_Data3[[#This Row],[Discount %]]/100)</f>
        <v>62826.400000000001</v>
      </c>
      <c r="M496" t="str">
        <f>IF(COUNTIF(Raw_Sales_Data3[Order ID],Raw_Sales_Data3[[#This Row],[Order ID]])&gt;1,"Duplicate Order ID","Unique Order ID")</f>
        <v>Unique Order ID</v>
      </c>
    </row>
    <row r="497" spans="1:13" x14ac:dyDescent="0.3">
      <c r="A497" t="s">
        <v>546</v>
      </c>
      <c r="B497" s="1"/>
      <c r="C497" t="s">
        <v>42</v>
      </c>
      <c r="D497" t="s">
        <v>23</v>
      </c>
      <c r="E497" t="s">
        <v>34</v>
      </c>
      <c r="F497" t="s">
        <v>14</v>
      </c>
      <c r="G497" t="s">
        <v>25</v>
      </c>
      <c r="H497" s="5">
        <v>1</v>
      </c>
      <c r="I497" s="3">
        <v>15995</v>
      </c>
      <c r="J497" s="10">
        <v>5</v>
      </c>
      <c r="K497" s="2">
        <v>15195.25</v>
      </c>
      <c r="L497" s="2">
        <f>Raw_Sales_Data3[[#This Row],[Quantity]]*Raw_Sales_Data3[[#This Row],[Unit Price]]*(Raw_Sales_Data3[[#This Row],[Discount %]]/100)</f>
        <v>799.75</v>
      </c>
      <c r="M497" t="str">
        <f>IF(COUNTIF(Raw_Sales_Data3[Order ID],Raw_Sales_Data3[[#This Row],[Order ID]])&gt;1,"Duplicate Order ID","Unique Order ID")</f>
        <v>Unique Order ID</v>
      </c>
    </row>
    <row r="498" spans="1:13" x14ac:dyDescent="0.3">
      <c r="A498" t="s">
        <v>547</v>
      </c>
      <c r="B498" s="1">
        <v>46064</v>
      </c>
      <c r="C498" t="s">
        <v>45</v>
      </c>
      <c r="D498" t="s">
        <v>43</v>
      </c>
      <c r="E498" t="s">
        <v>39</v>
      </c>
      <c r="F498" t="s">
        <v>24</v>
      </c>
      <c r="G498" t="s">
        <v>71</v>
      </c>
      <c r="H498" s="5">
        <v>4</v>
      </c>
      <c r="I498" s="3">
        <v>42185</v>
      </c>
      <c r="J498" s="10">
        <v>0</v>
      </c>
      <c r="K498" s="2">
        <v>168740</v>
      </c>
      <c r="L498" s="2">
        <f>Raw_Sales_Data3[[#This Row],[Quantity]]*Raw_Sales_Data3[[#This Row],[Unit Price]]*(Raw_Sales_Data3[[#This Row],[Discount %]]/100)</f>
        <v>0</v>
      </c>
      <c r="M498" t="str">
        <f>IF(COUNTIF(Raw_Sales_Data3[Order ID],Raw_Sales_Data3[[#This Row],[Order ID]])&gt;1,"Duplicate Order ID","Unique Order ID")</f>
        <v>Unique Order ID</v>
      </c>
    </row>
    <row r="499" spans="1:13" x14ac:dyDescent="0.3">
      <c r="A499" t="s">
        <v>548</v>
      </c>
      <c r="B499" s="1">
        <v>46044</v>
      </c>
      <c r="C499" t="s">
        <v>27</v>
      </c>
      <c r="D499" t="s">
        <v>70</v>
      </c>
      <c r="E499" t="s">
        <v>13</v>
      </c>
      <c r="F499" t="s">
        <v>24</v>
      </c>
      <c r="G499" t="s">
        <v>25</v>
      </c>
      <c r="H499" s="5">
        <v>11</v>
      </c>
      <c r="I499" s="3">
        <v>28309</v>
      </c>
      <c r="J499" s="10">
        <v>10</v>
      </c>
      <c r="K499" s="2">
        <v>280259.09999999998</v>
      </c>
      <c r="L499" s="2">
        <f>Raw_Sales_Data3[[#This Row],[Quantity]]*Raw_Sales_Data3[[#This Row],[Unit Price]]*(Raw_Sales_Data3[[#This Row],[Discount %]]/100)</f>
        <v>31139.9</v>
      </c>
      <c r="M499" t="str">
        <f>IF(COUNTIF(Raw_Sales_Data3[Order ID],Raw_Sales_Data3[[#This Row],[Order ID]])&gt;1,"Duplicate Order ID","Unique Order ID")</f>
        <v>Unique Order ID</v>
      </c>
    </row>
    <row r="500" spans="1:13" x14ac:dyDescent="0.3">
      <c r="A500" t="s">
        <v>549</v>
      </c>
      <c r="B500" s="1">
        <v>46052</v>
      </c>
      <c r="C500" t="s">
        <v>69</v>
      </c>
      <c r="D500" t="s">
        <v>70</v>
      </c>
      <c r="E500" t="s">
        <v>28</v>
      </c>
      <c r="F500" t="s">
        <v>19</v>
      </c>
      <c r="G500" t="s">
        <v>31</v>
      </c>
      <c r="H500" s="5">
        <v>3</v>
      </c>
      <c r="I500" s="3">
        <v>1427</v>
      </c>
      <c r="J500" s="10">
        <v>0</v>
      </c>
      <c r="K500" s="2">
        <v>4281</v>
      </c>
      <c r="L500" s="2">
        <f>Raw_Sales_Data3[[#This Row],[Quantity]]*Raw_Sales_Data3[[#This Row],[Unit Price]]*(Raw_Sales_Data3[[#This Row],[Discount %]]/100)</f>
        <v>0</v>
      </c>
      <c r="M500" t="str">
        <f>IF(COUNTIF(Raw_Sales_Data3[Order ID],Raw_Sales_Data3[[#This Row],[Order ID]])&gt;1,"Duplicate Order ID","Unique Order ID")</f>
        <v>Unique Order ID</v>
      </c>
    </row>
    <row r="501" spans="1:13" x14ac:dyDescent="0.3">
      <c r="A501" t="s">
        <v>550</v>
      </c>
      <c r="B501" s="1">
        <v>46079</v>
      </c>
      <c r="C501" t="s">
        <v>33</v>
      </c>
      <c r="D501" t="s">
        <v>23</v>
      </c>
      <c r="E501" t="s">
        <v>28</v>
      </c>
      <c r="F501" t="s">
        <v>24</v>
      </c>
      <c r="G501" t="s">
        <v>77</v>
      </c>
      <c r="H501" s="5">
        <v>12</v>
      </c>
      <c r="I501" s="3">
        <v>37361</v>
      </c>
      <c r="J501" s="10">
        <v>0</v>
      </c>
      <c r="K501" s="2">
        <v>448332</v>
      </c>
      <c r="L501" s="2">
        <f>Raw_Sales_Data3[[#This Row],[Quantity]]*Raw_Sales_Data3[[#This Row],[Unit Price]]*(Raw_Sales_Data3[[#This Row],[Discount %]]/100)</f>
        <v>0</v>
      </c>
      <c r="M501" t="str">
        <f>IF(COUNTIF(Raw_Sales_Data3[Order ID],Raw_Sales_Data3[[#This Row],[Order ID]])&gt;1,"Duplicate Order ID","Unique Order ID")</f>
        <v>Unique Order ID</v>
      </c>
    </row>
    <row r="502" spans="1:13" x14ac:dyDescent="0.3">
      <c r="A502" t="s">
        <v>551</v>
      </c>
      <c r="B502" s="1">
        <v>46028</v>
      </c>
      <c r="C502" t="s">
        <v>33</v>
      </c>
      <c r="D502" t="s">
        <v>23</v>
      </c>
      <c r="E502" t="s">
        <v>18</v>
      </c>
      <c r="F502" t="s">
        <v>24</v>
      </c>
      <c r="G502" t="s">
        <v>53</v>
      </c>
      <c r="H502" s="5">
        <v>14</v>
      </c>
      <c r="I502" s="3">
        <v>26584</v>
      </c>
      <c r="J502" s="10">
        <v>10</v>
      </c>
      <c r="K502" s="2">
        <v>334958.40000000002</v>
      </c>
      <c r="L502" s="2">
        <f>Raw_Sales_Data3[[#This Row],[Quantity]]*Raw_Sales_Data3[[#This Row],[Unit Price]]*(Raw_Sales_Data3[[#This Row],[Discount %]]/100)</f>
        <v>37217.599999999999</v>
      </c>
      <c r="M502" t="str">
        <f>IF(COUNTIF(Raw_Sales_Data3[Order ID],Raw_Sales_Data3[[#This Row],[Order ID]])&gt;1,"Duplicate Order ID","Unique Order ID")</f>
        <v>Unique Order ID</v>
      </c>
    </row>
    <row r="503" spans="1:13" x14ac:dyDescent="0.3">
      <c r="A503" t="s">
        <v>552</v>
      </c>
      <c r="B503" s="1">
        <v>46098</v>
      </c>
      <c r="C503" t="s">
        <v>86</v>
      </c>
      <c r="D503" t="s">
        <v>43</v>
      </c>
      <c r="E503" t="s">
        <v>18</v>
      </c>
      <c r="F503" t="s">
        <v>19</v>
      </c>
      <c r="G503" t="s">
        <v>147</v>
      </c>
      <c r="H503" s="5">
        <v>14</v>
      </c>
      <c r="I503" s="3">
        <v>11572</v>
      </c>
      <c r="J503" s="10">
        <v>20</v>
      </c>
      <c r="K503" s="2">
        <v>129606.39999999999</v>
      </c>
      <c r="L503" s="2">
        <f>Raw_Sales_Data3[[#This Row],[Quantity]]*Raw_Sales_Data3[[#This Row],[Unit Price]]*(Raw_Sales_Data3[[#This Row],[Discount %]]/100)</f>
        <v>32401.600000000002</v>
      </c>
      <c r="M503" t="str">
        <f>IF(COUNTIF(Raw_Sales_Data3[Order ID],Raw_Sales_Data3[[#This Row],[Order ID]])&gt;1,"Duplicate Order ID","Unique Order ID")</f>
        <v>Unique Order ID</v>
      </c>
    </row>
    <row r="504" spans="1:13" x14ac:dyDescent="0.3">
      <c r="A504" t="s">
        <v>553</v>
      </c>
      <c r="B504" s="1">
        <v>46071</v>
      </c>
      <c r="C504" t="s">
        <v>91</v>
      </c>
      <c r="D504" t="s">
        <v>70</v>
      </c>
      <c r="E504" t="s">
        <v>34</v>
      </c>
      <c r="F504" t="s">
        <v>14</v>
      </c>
      <c r="G504" t="s">
        <v>125</v>
      </c>
      <c r="H504" s="5">
        <v>13</v>
      </c>
      <c r="I504" s="3">
        <v>57738</v>
      </c>
      <c r="J504" s="10">
        <v>10</v>
      </c>
      <c r="K504" s="2">
        <v>675534.6</v>
      </c>
      <c r="L504" s="2">
        <f>Raw_Sales_Data3[[#This Row],[Quantity]]*Raw_Sales_Data3[[#This Row],[Unit Price]]*(Raw_Sales_Data3[[#This Row],[Discount %]]/100)</f>
        <v>75059.400000000009</v>
      </c>
      <c r="M504" t="str">
        <f>IF(COUNTIF(Raw_Sales_Data3[Order ID],Raw_Sales_Data3[[#This Row],[Order ID]])&gt;1,"Duplicate Order ID","Unique Order ID")</f>
        <v>Unique Order ID</v>
      </c>
    </row>
    <row r="505" spans="1:13" x14ac:dyDescent="0.3">
      <c r="A505" t="s">
        <v>554</v>
      </c>
      <c r="B505" s="1">
        <v>46046</v>
      </c>
      <c r="C505" t="s">
        <v>17</v>
      </c>
      <c r="D505" t="s">
        <v>43</v>
      </c>
      <c r="E505" t="s">
        <v>18</v>
      </c>
      <c r="F505" t="s">
        <v>19</v>
      </c>
      <c r="G505" t="s">
        <v>79</v>
      </c>
      <c r="H505" s="5">
        <v>13</v>
      </c>
      <c r="I505" s="3">
        <v>52444</v>
      </c>
      <c r="J505" s="10">
        <v>5</v>
      </c>
      <c r="K505" s="2">
        <v>647683.4</v>
      </c>
      <c r="L505" s="2">
        <f>Raw_Sales_Data3[[#This Row],[Quantity]]*Raw_Sales_Data3[[#This Row],[Unit Price]]*(Raw_Sales_Data3[[#This Row],[Discount %]]/100)</f>
        <v>34088.6</v>
      </c>
      <c r="M505" t="str">
        <f>IF(COUNTIF(Raw_Sales_Data3[Order ID],Raw_Sales_Data3[[#This Row],[Order ID]])&gt;1,"Duplicate Order ID","Unique Order ID")</f>
        <v>Unique Order ID</v>
      </c>
    </row>
    <row r="506" spans="1:13" x14ac:dyDescent="0.3">
      <c r="A506" t="s">
        <v>555</v>
      </c>
      <c r="B506" s="1">
        <v>46111</v>
      </c>
      <c r="C506" t="s">
        <v>22</v>
      </c>
      <c r="D506" t="s">
        <v>58</v>
      </c>
      <c r="E506" t="s">
        <v>39</v>
      </c>
      <c r="F506" t="s">
        <v>24</v>
      </c>
      <c r="G506" t="s">
        <v>55</v>
      </c>
      <c r="H506" s="5">
        <v>5</v>
      </c>
      <c r="I506" s="3">
        <v>59422</v>
      </c>
      <c r="J506" s="10">
        <v>0</v>
      </c>
      <c r="K506" s="2">
        <v>297110</v>
      </c>
      <c r="L506" s="2">
        <f>Raw_Sales_Data3[[#This Row],[Quantity]]*Raw_Sales_Data3[[#This Row],[Unit Price]]*(Raw_Sales_Data3[[#This Row],[Discount %]]/100)</f>
        <v>0</v>
      </c>
      <c r="M506" t="str">
        <f>IF(COUNTIF(Raw_Sales_Data3[Order ID],Raw_Sales_Data3[[#This Row],[Order ID]])&gt;1,"Duplicate Order ID","Unique Order ID")</f>
        <v>Unique Order ID</v>
      </c>
    </row>
    <row r="507" spans="1:13" x14ac:dyDescent="0.3">
      <c r="A507" t="s">
        <v>556</v>
      </c>
      <c r="B507" s="1">
        <v>46027</v>
      </c>
      <c r="C507" t="s">
        <v>50</v>
      </c>
      <c r="D507" t="s">
        <v>58</v>
      </c>
      <c r="E507" t="s">
        <v>18</v>
      </c>
      <c r="F507" t="s">
        <v>24</v>
      </c>
      <c r="G507" t="s">
        <v>25</v>
      </c>
      <c r="H507" s="5">
        <v>3</v>
      </c>
      <c r="I507" s="3">
        <f>K507/H507</f>
        <v>43065.25</v>
      </c>
      <c r="J507" s="10">
        <v>15</v>
      </c>
      <c r="K507" s="2">
        <v>129195.75</v>
      </c>
      <c r="L507" s="2">
        <f>Raw_Sales_Data3[[#This Row],[Quantity]]*Raw_Sales_Data3[[#This Row],[Unit Price]]*(Raw_Sales_Data3[[#This Row],[Discount %]]/100)</f>
        <v>19379.362499999999</v>
      </c>
      <c r="M507" t="str">
        <f>IF(COUNTIF(Raw_Sales_Data3[Order ID],Raw_Sales_Data3[[#This Row],[Order ID]])&gt;1,"Duplicate Order ID","Unique Order ID")</f>
        <v>Unique Order ID</v>
      </c>
    </row>
    <row r="508" spans="1:13" x14ac:dyDescent="0.3">
      <c r="A508" t="s">
        <v>557</v>
      </c>
      <c r="B508" s="1">
        <v>46088</v>
      </c>
      <c r="C508" t="s">
        <v>69</v>
      </c>
      <c r="D508" t="s">
        <v>70</v>
      </c>
      <c r="E508" t="s">
        <v>34</v>
      </c>
      <c r="F508" t="s">
        <v>14</v>
      </c>
      <c r="G508" t="s">
        <v>156</v>
      </c>
      <c r="H508" s="5">
        <v>7</v>
      </c>
      <c r="I508" s="3">
        <v>57392</v>
      </c>
      <c r="J508" s="10">
        <v>15</v>
      </c>
      <c r="K508" s="2">
        <v>341482.4</v>
      </c>
      <c r="L508" s="2">
        <f>Raw_Sales_Data3[[#This Row],[Quantity]]*Raw_Sales_Data3[[#This Row],[Unit Price]]*(Raw_Sales_Data3[[#This Row],[Discount %]]/100)</f>
        <v>60261.599999999999</v>
      </c>
      <c r="M508" t="str">
        <f>IF(COUNTIF(Raw_Sales_Data3[Order ID],Raw_Sales_Data3[[#This Row],[Order ID]])&gt;1,"Duplicate Order ID","Unique Order ID")</f>
        <v>Unique Order ID</v>
      </c>
    </row>
    <row r="509" spans="1:13" x14ac:dyDescent="0.3">
      <c r="A509" t="s">
        <v>558</v>
      </c>
      <c r="B509" s="1">
        <v>46088</v>
      </c>
      <c r="C509" t="s">
        <v>12</v>
      </c>
      <c r="D509" t="s">
        <v>70</v>
      </c>
      <c r="E509" t="s">
        <v>18</v>
      </c>
      <c r="F509" t="s">
        <v>24</v>
      </c>
      <c r="G509" t="s">
        <v>77</v>
      </c>
      <c r="H509" s="5">
        <v>9</v>
      </c>
      <c r="I509" s="3">
        <v>26223</v>
      </c>
      <c r="J509" s="10">
        <v>0</v>
      </c>
      <c r="K509" s="2">
        <v>236007</v>
      </c>
      <c r="L509" s="2">
        <f>Raw_Sales_Data3[[#This Row],[Quantity]]*Raw_Sales_Data3[[#This Row],[Unit Price]]*(Raw_Sales_Data3[[#This Row],[Discount %]]/100)</f>
        <v>0</v>
      </c>
      <c r="M509" t="str">
        <f>IF(COUNTIF(Raw_Sales_Data3[Order ID],Raw_Sales_Data3[[#This Row],[Order ID]])&gt;1,"Duplicate Order ID","Unique Order ID")</f>
        <v>Unique Order ID</v>
      </c>
    </row>
    <row r="510" spans="1:13" x14ac:dyDescent="0.3">
      <c r="A510" t="s">
        <v>559</v>
      </c>
      <c r="B510" s="1">
        <v>46090</v>
      </c>
      <c r="C510" t="s">
        <v>22</v>
      </c>
      <c r="D510" t="s">
        <v>70</v>
      </c>
      <c r="E510" t="s">
        <v>34</v>
      </c>
      <c r="F510" t="s">
        <v>24</v>
      </c>
      <c r="G510" t="s">
        <v>53</v>
      </c>
      <c r="H510" s="5">
        <v>3</v>
      </c>
      <c r="I510" s="3">
        <v>52513</v>
      </c>
      <c r="J510" s="10">
        <v>15</v>
      </c>
      <c r="K510" s="2">
        <v>133908.15</v>
      </c>
      <c r="L510" s="2">
        <f>Raw_Sales_Data3[[#This Row],[Quantity]]*Raw_Sales_Data3[[#This Row],[Unit Price]]*(Raw_Sales_Data3[[#This Row],[Discount %]]/100)</f>
        <v>23630.85</v>
      </c>
      <c r="M510" t="str">
        <f>IF(COUNTIF(Raw_Sales_Data3[Order ID],Raw_Sales_Data3[[#This Row],[Order ID]])&gt;1,"Duplicate Order ID","Unique Order ID")</f>
        <v>Unique Order ID</v>
      </c>
    </row>
    <row r="511" spans="1:13" x14ac:dyDescent="0.3">
      <c r="A511" t="s">
        <v>560</v>
      </c>
      <c r="B511" s="1">
        <v>46030</v>
      </c>
      <c r="C511" t="s">
        <v>48</v>
      </c>
      <c r="D511" t="s">
        <v>43</v>
      </c>
      <c r="E511" t="s">
        <v>28</v>
      </c>
      <c r="F511" t="s">
        <v>24</v>
      </c>
      <c r="G511" t="s">
        <v>29</v>
      </c>
      <c r="H511" s="5">
        <v>6</v>
      </c>
      <c r="I511" s="3">
        <f>K511/H511</f>
        <v>22584</v>
      </c>
      <c r="J511" s="10">
        <v>20</v>
      </c>
      <c r="K511" s="2">
        <v>135504</v>
      </c>
      <c r="L511" s="2">
        <f>Raw_Sales_Data3[[#This Row],[Quantity]]*Raw_Sales_Data3[[#This Row],[Unit Price]]*(Raw_Sales_Data3[[#This Row],[Discount %]]/100)</f>
        <v>27100.800000000003</v>
      </c>
      <c r="M511" t="str">
        <f>IF(COUNTIF(Raw_Sales_Data3[Order ID],Raw_Sales_Data3[[#This Row],[Order ID]])&gt;1,"Duplicate Order ID","Unique Order ID")</f>
        <v>Unique Order ID</v>
      </c>
    </row>
    <row r="512" spans="1:13" x14ac:dyDescent="0.3">
      <c r="A512" t="s">
        <v>561</v>
      </c>
      <c r="B512" s="1">
        <v>46026</v>
      </c>
      <c r="C512" t="s">
        <v>91</v>
      </c>
      <c r="D512" t="s">
        <v>43</v>
      </c>
      <c r="E512" t="s">
        <v>13</v>
      </c>
      <c r="F512" t="s">
        <v>14</v>
      </c>
      <c r="G512" t="s">
        <v>125</v>
      </c>
      <c r="H512" s="5">
        <v>4</v>
      </c>
      <c r="I512" s="3">
        <v>13801</v>
      </c>
      <c r="J512" s="10">
        <v>20</v>
      </c>
      <c r="K512" s="2">
        <v>44163.199999999997</v>
      </c>
      <c r="L512" s="2">
        <f>Raw_Sales_Data3[[#This Row],[Quantity]]*Raw_Sales_Data3[[#This Row],[Unit Price]]*(Raw_Sales_Data3[[#This Row],[Discount %]]/100)</f>
        <v>11040.800000000001</v>
      </c>
      <c r="M512" t="str">
        <f>IF(COUNTIF(Raw_Sales_Data3[Order ID],Raw_Sales_Data3[[#This Row],[Order ID]])&gt;1,"Duplicate Order ID","Unique Order ID")</f>
        <v>Unique Order ID</v>
      </c>
    </row>
    <row r="513" spans="1:13" x14ac:dyDescent="0.3">
      <c r="A513" t="s">
        <v>562</v>
      </c>
      <c r="B513" s="1">
        <v>46111</v>
      </c>
      <c r="C513" t="s">
        <v>54</v>
      </c>
      <c r="D513" t="s">
        <v>58</v>
      </c>
      <c r="E513" t="s">
        <v>18</v>
      </c>
      <c r="F513" t="s">
        <v>24</v>
      </c>
      <c r="G513" t="s">
        <v>29</v>
      </c>
      <c r="H513" s="5">
        <v>5</v>
      </c>
      <c r="I513" s="3">
        <v>55882</v>
      </c>
      <c r="J513" s="10">
        <v>0</v>
      </c>
      <c r="K513" s="2">
        <v>279410</v>
      </c>
      <c r="L513" s="2">
        <f>Raw_Sales_Data3[[#This Row],[Quantity]]*Raw_Sales_Data3[[#This Row],[Unit Price]]*(Raw_Sales_Data3[[#This Row],[Discount %]]/100)</f>
        <v>0</v>
      </c>
      <c r="M513" t="str">
        <f>IF(COUNTIF(Raw_Sales_Data3[Order ID],Raw_Sales_Data3[[#This Row],[Order ID]])&gt;1,"Duplicate Order ID","Unique Order ID")</f>
        <v>Unique Order ID</v>
      </c>
    </row>
    <row r="514" spans="1:13" x14ac:dyDescent="0.3">
      <c r="A514" t="s">
        <v>563</v>
      </c>
      <c r="B514" s="1">
        <v>46055</v>
      </c>
      <c r="C514" t="s">
        <v>69</v>
      </c>
      <c r="D514" t="s">
        <v>23</v>
      </c>
      <c r="E514" t="s">
        <v>28</v>
      </c>
      <c r="F514" t="s">
        <v>19</v>
      </c>
      <c r="G514" t="s">
        <v>31</v>
      </c>
      <c r="H514" s="5">
        <v>5</v>
      </c>
      <c r="I514" s="3">
        <v>20133</v>
      </c>
      <c r="J514" s="10">
        <v>10</v>
      </c>
      <c r="K514" s="2">
        <v>90598.5</v>
      </c>
      <c r="L514" s="2">
        <f>Raw_Sales_Data3[[#This Row],[Quantity]]*Raw_Sales_Data3[[#This Row],[Unit Price]]*(Raw_Sales_Data3[[#This Row],[Discount %]]/100)</f>
        <v>10066.5</v>
      </c>
      <c r="M514" t="str">
        <f>IF(COUNTIF(Raw_Sales_Data3[Order ID],Raw_Sales_Data3[[#This Row],[Order ID]])&gt;1,"Duplicate Order ID","Unique Order ID")</f>
        <v>Unique Order ID</v>
      </c>
    </row>
    <row r="515" spans="1:13" x14ac:dyDescent="0.3">
      <c r="A515" t="s">
        <v>564</v>
      </c>
      <c r="B515" s="1">
        <v>46097</v>
      </c>
      <c r="C515" t="s">
        <v>22</v>
      </c>
      <c r="D515" t="s">
        <v>70</v>
      </c>
      <c r="E515" t="s">
        <v>18</v>
      </c>
      <c r="F515" t="s">
        <v>24</v>
      </c>
      <c r="G515" t="s">
        <v>25</v>
      </c>
      <c r="H515" s="5">
        <v>2</v>
      </c>
      <c r="I515" s="3">
        <v>9546</v>
      </c>
      <c r="J515" s="10">
        <v>20</v>
      </c>
      <c r="K515" s="2">
        <v>15273.6</v>
      </c>
      <c r="L515" s="2">
        <f>Raw_Sales_Data3[[#This Row],[Quantity]]*Raw_Sales_Data3[[#This Row],[Unit Price]]*(Raw_Sales_Data3[[#This Row],[Discount %]]/100)</f>
        <v>3818.4</v>
      </c>
      <c r="M515" t="str">
        <f>IF(COUNTIF(Raw_Sales_Data3[Order ID],Raw_Sales_Data3[[#This Row],[Order ID]])&gt;1,"Duplicate Order ID","Unique Order ID")</f>
        <v>Unique Order ID</v>
      </c>
    </row>
    <row r="516" spans="1:13" x14ac:dyDescent="0.3">
      <c r="A516" t="s">
        <v>565</v>
      </c>
      <c r="B516" s="1">
        <v>46037</v>
      </c>
      <c r="C516" t="s">
        <v>91</v>
      </c>
      <c r="D516" t="s">
        <v>43</v>
      </c>
      <c r="E516" t="s">
        <v>28</v>
      </c>
      <c r="F516" t="s">
        <v>19</v>
      </c>
      <c r="G516" t="s">
        <v>117</v>
      </c>
      <c r="H516" s="5">
        <v>13</v>
      </c>
      <c r="I516" s="3">
        <v>48807</v>
      </c>
      <c r="J516" s="10">
        <v>10</v>
      </c>
      <c r="K516" s="2">
        <v>571041.9</v>
      </c>
      <c r="L516" s="2">
        <f>Raw_Sales_Data3[[#This Row],[Quantity]]*Raw_Sales_Data3[[#This Row],[Unit Price]]*(Raw_Sales_Data3[[#This Row],[Discount %]]/100)</f>
        <v>63449.100000000006</v>
      </c>
      <c r="M516" t="str">
        <f>IF(COUNTIF(Raw_Sales_Data3[Order ID],Raw_Sales_Data3[[#This Row],[Order ID]])&gt;1,"Duplicate Order ID","Unique Order ID")</f>
        <v>Unique Order ID</v>
      </c>
    </row>
    <row r="517" spans="1:13" x14ac:dyDescent="0.3">
      <c r="A517" t="s">
        <v>566</v>
      </c>
      <c r="B517" s="1"/>
      <c r="C517" t="s">
        <v>42</v>
      </c>
      <c r="D517" t="s">
        <v>43</v>
      </c>
      <c r="E517" t="s">
        <v>34</v>
      </c>
      <c r="F517" t="s">
        <v>19</v>
      </c>
      <c r="G517" t="s">
        <v>59</v>
      </c>
      <c r="H517" s="5">
        <v>11</v>
      </c>
      <c r="I517" s="3">
        <v>32920</v>
      </c>
      <c r="J517" s="10">
        <v>15</v>
      </c>
      <c r="K517" s="2">
        <v>307802</v>
      </c>
      <c r="L517" s="2">
        <f>Raw_Sales_Data3[[#This Row],[Quantity]]*Raw_Sales_Data3[[#This Row],[Unit Price]]*(Raw_Sales_Data3[[#This Row],[Discount %]]/100)</f>
        <v>54318</v>
      </c>
      <c r="M517" t="str">
        <f>IF(COUNTIF(Raw_Sales_Data3[Order ID],Raw_Sales_Data3[[#This Row],[Order ID]])&gt;1,"Duplicate Order ID","Unique Order ID")</f>
        <v>Unique Order ID</v>
      </c>
    </row>
    <row r="518" spans="1:13" x14ac:dyDescent="0.3">
      <c r="A518" t="s">
        <v>567</v>
      </c>
      <c r="B518" s="1">
        <v>46101</v>
      </c>
      <c r="C518" t="s">
        <v>27</v>
      </c>
      <c r="D518" t="s">
        <v>23</v>
      </c>
      <c r="E518" t="s">
        <v>39</v>
      </c>
      <c r="F518" t="s">
        <v>19</v>
      </c>
      <c r="G518" t="s">
        <v>1038</v>
      </c>
      <c r="H518" s="5">
        <v>8</v>
      </c>
      <c r="I518" s="3">
        <v>19715</v>
      </c>
      <c r="J518" s="10">
        <v>10</v>
      </c>
      <c r="K518" s="2">
        <v>141948</v>
      </c>
      <c r="L518" s="2">
        <f>Raw_Sales_Data3[[#This Row],[Quantity]]*Raw_Sales_Data3[[#This Row],[Unit Price]]*(Raw_Sales_Data3[[#This Row],[Discount %]]/100)</f>
        <v>15772</v>
      </c>
      <c r="M518" t="str">
        <f>IF(COUNTIF(Raw_Sales_Data3[Order ID],Raw_Sales_Data3[[#This Row],[Order ID]])&gt;1,"Duplicate Order ID","Unique Order ID")</f>
        <v>Unique Order ID</v>
      </c>
    </row>
    <row r="519" spans="1:13" x14ac:dyDescent="0.3">
      <c r="A519" t="s">
        <v>568</v>
      </c>
      <c r="B519" s="1">
        <v>46035</v>
      </c>
      <c r="C519" t="s">
        <v>50</v>
      </c>
      <c r="D519" t="s">
        <v>70</v>
      </c>
      <c r="E519" t="s">
        <v>18</v>
      </c>
      <c r="F519" t="s">
        <v>24</v>
      </c>
      <c r="G519" t="s">
        <v>29</v>
      </c>
      <c r="H519" s="5">
        <v>15</v>
      </c>
      <c r="I519" s="3">
        <v>7252</v>
      </c>
      <c r="J519" s="10">
        <v>5</v>
      </c>
      <c r="K519" s="2">
        <v>103341</v>
      </c>
      <c r="L519" s="2">
        <f>Raw_Sales_Data3[[#This Row],[Quantity]]*Raw_Sales_Data3[[#This Row],[Unit Price]]*(Raw_Sales_Data3[[#This Row],[Discount %]]/100)</f>
        <v>5439</v>
      </c>
      <c r="M519" t="str">
        <f>IF(COUNTIF(Raw_Sales_Data3[Order ID],Raw_Sales_Data3[[#This Row],[Order ID]])&gt;1,"Duplicate Order ID","Unique Order ID")</f>
        <v>Unique Order ID</v>
      </c>
    </row>
    <row r="520" spans="1:13" x14ac:dyDescent="0.3">
      <c r="A520" t="s">
        <v>569</v>
      </c>
      <c r="B520" s="1"/>
      <c r="C520" t="s">
        <v>64</v>
      </c>
      <c r="D520" t="s">
        <v>70</v>
      </c>
      <c r="E520" t="s">
        <v>13</v>
      </c>
      <c r="F520" t="s">
        <v>24</v>
      </c>
      <c r="G520" t="s">
        <v>55</v>
      </c>
      <c r="H520" s="5">
        <v>7</v>
      </c>
      <c r="I520" s="3">
        <v>36544</v>
      </c>
      <c r="J520" s="10">
        <v>20</v>
      </c>
      <c r="K520" s="2">
        <v>204646.39999999999</v>
      </c>
      <c r="L520" s="2">
        <f>Raw_Sales_Data3[[#This Row],[Quantity]]*Raw_Sales_Data3[[#This Row],[Unit Price]]*(Raw_Sales_Data3[[#This Row],[Discount %]]/100)</f>
        <v>51161.600000000006</v>
      </c>
      <c r="M520" t="str">
        <f>IF(COUNTIF(Raw_Sales_Data3[Order ID],Raw_Sales_Data3[[#This Row],[Order ID]])&gt;1,"Duplicate Order ID","Unique Order ID")</f>
        <v>Unique Order ID</v>
      </c>
    </row>
    <row r="521" spans="1:13" x14ac:dyDescent="0.3">
      <c r="A521" t="s">
        <v>570</v>
      </c>
      <c r="B521" s="1">
        <v>46112</v>
      </c>
      <c r="C521" t="s">
        <v>38</v>
      </c>
      <c r="D521" t="s">
        <v>58</v>
      </c>
      <c r="E521" t="s">
        <v>28</v>
      </c>
      <c r="F521" t="s">
        <v>24</v>
      </c>
      <c r="G521" t="s">
        <v>77</v>
      </c>
      <c r="H521" s="5">
        <v>15</v>
      </c>
      <c r="I521" s="3">
        <v>49497</v>
      </c>
      <c r="J521" s="10">
        <v>10</v>
      </c>
      <c r="K521" s="2">
        <v>668209.5</v>
      </c>
      <c r="L521" s="2">
        <f>Raw_Sales_Data3[[#This Row],[Quantity]]*Raw_Sales_Data3[[#This Row],[Unit Price]]*(Raw_Sales_Data3[[#This Row],[Discount %]]/100)</f>
        <v>74245.5</v>
      </c>
      <c r="M521" t="str">
        <f>IF(COUNTIF(Raw_Sales_Data3[Order ID],Raw_Sales_Data3[[#This Row],[Order ID]])&gt;1,"Duplicate Order ID","Unique Order ID")</f>
        <v>Unique Order ID</v>
      </c>
    </row>
    <row r="522" spans="1:13" x14ac:dyDescent="0.3">
      <c r="A522" t="s">
        <v>571</v>
      </c>
      <c r="B522" s="1">
        <v>46033</v>
      </c>
      <c r="C522" t="s">
        <v>69</v>
      </c>
      <c r="D522" t="s">
        <v>23</v>
      </c>
      <c r="E522" t="s">
        <v>28</v>
      </c>
      <c r="F522" t="s">
        <v>14</v>
      </c>
      <c r="G522" t="s">
        <v>73</v>
      </c>
      <c r="H522" s="5">
        <v>8</v>
      </c>
      <c r="I522" s="3">
        <v>43754</v>
      </c>
      <c r="J522" s="10">
        <v>10</v>
      </c>
      <c r="K522" s="2">
        <v>315028.8</v>
      </c>
      <c r="L522" s="2">
        <f>Raw_Sales_Data3[[#This Row],[Quantity]]*Raw_Sales_Data3[[#This Row],[Unit Price]]*(Raw_Sales_Data3[[#This Row],[Discount %]]/100)</f>
        <v>35003.200000000004</v>
      </c>
      <c r="M522" t="str">
        <f>IF(COUNTIF(Raw_Sales_Data3[Order ID],Raw_Sales_Data3[[#This Row],[Order ID]])&gt;1,"Duplicate Order ID","Unique Order ID")</f>
        <v>Unique Order ID</v>
      </c>
    </row>
    <row r="523" spans="1:13" x14ac:dyDescent="0.3">
      <c r="A523" t="s">
        <v>572</v>
      </c>
      <c r="B523" s="1">
        <v>46101</v>
      </c>
      <c r="C523" t="s">
        <v>36</v>
      </c>
      <c r="D523" t="s">
        <v>58</v>
      </c>
      <c r="E523" t="s">
        <v>18</v>
      </c>
      <c r="F523" t="s">
        <v>14</v>
      </c>
      <c r="G523" t="s">
        <v>15</v>
      </c>
      <c r="H523" s="5">
        <v>2</v>
      </c>
      <c r="I523" s="3">
        <v>49192</v>
      </c>
      <c r="J523" s="10">
        <v>0</v>
      </c>
      <c r="K523" s="2">
        <v>98384</v>
      </c>
      <c r="L523" s="2">
        <f>Raw_Sales_Data3[[#This Row],[Quantity]]*Raw_Sales_Data3[[#This Row],[Unit Price]]*(Raw_Sales_Data3[[#This Row],[Discount %]]/100)</f>
        <v>0</v>
      </c>
      <c r="M523" t="str">
        <f>IF(COUNTIF(Raw_Sales_Data3[Order ID],Raw_Sales_Data3[[#This Row],[Order ID]])&gt;1,"Duplicate Order ID","Unique Order ID")</f>
        <v>Unique Order ID</v>
      </c>
    </row>
    <row r="524" spans="1:13" x14ac:dyDescent="0.3">
      <c r="A524" t="s">
        <v>573</v>
      </c>
      <c r="B524" s="1">
        <v>46048</v>
      </c>
      <c r="C524" t="s">
        <v>89</v>
      </c>
      <c r="D524" t="s">
        <v>43</v>
      </c>
      <c r="E524" t="s">
        <v>13</v>
      </c>
      <c r="F524" t="s">
        <v>24</v>
      </c>
      <c r="G524" t="s">
        <v>25</v>
      </c>
      <c r="H524" s="5">
        <v>2</v>
      </c>
      <c r="I524" s="3">
        <v>51183</v>
      </c>
      <c r="J524" s="10">
        <v>0</v>
      </c>
      <c r="K524" s="2">
        <v>102366</v>
      </c>
      <c r="L524" s="2">
        <f>Raw_Sales_Data3[[#This Row],[Quantity]]*Raw_Sales_Data3[[#This Row],[Unit Price]]*(Raw_Sales_Data3[[#This Row],[Discount %]]/100)</f>
        <v>0</v>
      </c>
      <c r="M524" t="str">
        <f>IF(COUNTIF(Raw_Sales_Data3[Order ID],Raw_Sales_Data3[[#This Row],[Order ID]])&gt;1,"Duplicate Order ID","Unique Order ID")</f>
        <v>Unique Order ID</v>
      </c>
    </row>
    <row r="525" spans="1:13" x14ac:dyDescent="0.3">
      <c r="A525" t="s">
        <v>574</v>
      </c>
      <c r="B525" s="1">
        <v>46035</v>
      </c>
      <c r="C525" t="s">
        <v>42</v>
      </c>
      <c r="D525" t="s">
        <v>43</v>
      </c>
      <c r="E525" t="s">
        <v>13</v>
      </c>
      <c r="F525" t="s">
        <v>14</v>
      </c>
      <c r="G525" t="s">
        <v>66</v>
      </c>
      <c r="H525" s="5">
        <v>7</v>
      </c>
      <c r="I525" s="3">
        <v>39694</v>
      </c>
      <c r="J525" s="10">
        <v>5</v>
      </c>
      <c r="K525" s="2">
        <v>263965.09999999998</v>
      </c>
      <c r="L525" s="2">
        <f>Raw_Sales_Data3[[#This Row],[Quantity]]*Raw_Sales_Data3[[#This Row],[Unit Price]]*(Raw_Sales_Data3[[#This Row],[Discount %]]/100)</f>
        <v>13892.900000000001</v>
      </c>
      <c r="M525" t="str">
        <f>IF(COUNTIF(Raw_Sales_Data3[Order ID],Raw_Sales_Data3[[#This Row],[Order ID]])&gt;1,"Duplicate Order ID","Unique Order ID")</f>
        <v>Unique Order ID</v>
      </c>
    </row>
    <row r="526" spans="1:13" x14ac:dyDescent="0.3">
      <c r="A526" t="s">
        <v>575</v>
      </c>
      <c r="B526" s="1">
        <v>46037</v>
      </c>
      <c r="C526" t="s">
        <v>33</v>
      </c>
      <c r="D526" t="s">
        <v>70</v>
      </c>
      <c r="E526" t="s">
        <v>34</v>
      </c>
      <c r="F526" t="s">
        <v>14</v>
      </c>
      <c r="G526" t="s">
        <v>66</v>
      </c>
      <c r="H526" s="5">
        <v>5</v>
      </c>
      <c r="I526" s="3">
        <v>13775</v>
      </c>
      <c r="J526" s="10">
        <v>0</v>
      </c>
      <c r="K526" s="2">
        <v>68875</v>
      </c>
      <c r="L526" s="2">
        <f>Raw_Sales_Data3[[#This Row],[Quantity]]*Raw_Sales_Data3[[#This Row],[Unit Price]]*(Raw_Sales_Data3[[#This Row],[Discount %]]/100)</f>
        <v>0</v>
      </c>
      <c r="M526" t="str">
        <f>IF(COUNTIF(Raw_Sales_Data3[Order ID],Raw_Sales_Data3[[#This Row],[Order ID]])&gt;1,"Duplicate Order ID","Unique Order ID")</f>
        <v>Unique Order ID</v>
      </c>
    </row>
    <row r="527" spans="1:13" x14ac:dyDescent="0.3">
      <c r="A527" t="s">
        <v>576</v>
      </c>
      <c r="B527" s="1">
        <v>46062</v>
      </c>
      <c r="C527" t="s">
        <v>22</v>
      </c>
      <c r="D527" t="s">
        <v>58</v>
      </c>
      <c r="E527" t="s">
        <v>28</v>
      </c>
      <c r="F527" t="s">
        <v>19</v>
      </c>
      <c r="G527" t="s">
        <v>79</v>
      </c>
      <c r="H527" s="5">
        <v>2</v>
      </c>
      <c r="I527" s="3">
        <v>23661</v>
      </c>
      <c r="J527" s="10">
        <v>0</v>
      </c>
      <c r="K527" s="2">
        <v>47322</v>
      </c>
      <c r="L527" s="2">
        <f>Raw_Sales_Data3[[#This Row],[Quantity]]*Raw_Sales_Data3[[#This Row],[Unit Price]]*(Raw_Sales_Data3[[#This Row],[Discount %]]/100)</f>
        <v>0</v>
      </c>
      <c r="M527" t="str">
        <f>IF(COUNTIF(Raw_Sales_Data3[Order ID],Raw_Sales_Data3[[#This Row],[Order ID]])&gt;1,"Duplicate Order ID","Unique Order ID")</f>
        <v>Unique Order ID</v>
      </c>
    </row>
    <row r="528" spans="1:13" x14ac:dyDescent="0.3">
      <c r="A528" t="s">
        <v>577</v>
      </c>
      <c r="B528" s="1">
        <v>46034</v>
      </c>
      <c r="C528" t="s">
        <v>86</v>
      </c>
      <c r="D528" t="s">
        <v>58</v>
      </c>
      <c r="E528" t="s">
        <v>28</v>
      </c>
      <c r="F528" t="s">
        <v>14</v>
      </c>
      <c r="G528" t="s">
        <v>73</v>
      </c>
      <c r="H528" s="5">
        <v>3</v>
      </c>
      <c r="I528" s="3">
        <v>29354</v>
      </c>
      <c r="J528" s="10">
        <v>5</v>
      </c>
      <c r="K528" s="2">
        <v>83658.899999999994</v>
      </c>
      <c r="L528" s="2">
        <f>Raw_Sales_Data3[[#This Row],[Quantity]]*Raw_Sales_Data3[[#This Row],[Unit Price]]*(Raw_Sales_Data3[[#This Row],[Discount %]]/100)</f>
        <v>4403.1000000000004</v>
      </c>
      <c r="M528" t="str">
        <f>IF(COUNTIF(Raw_Sales_Data3[Order ID],Raw_Sales_Data3[[#This Row],[Order ID]])&gt;1,"Duplicate Order ID","Unique Order ID")</f>
        <v>Unique Order ID</v>
      </c>
    </row>
    <row r="529" spans="1:13" x14ac:dyDescent="0.3">
      <c r="A529" t="s">
        <v>578</v>
      </c>
      <c r="B529" s="1">
        <v>46106</v>
      </c>
      <c r="C529" t="s">
        <v>42</v>
      </c>
      <c r="D529" t="s">
        <v>23</v>
      </c>
      <c r="E529" t="s">
        <v>13</v>
      </c>
      <c r="F529" t="s">
        <v>24</v>
      </c>
      <c r="G529" t="s">
        <v>77</v>
      </c>
      <c r="H529" s="5">
        <v>8</v>
      </c>
      <c r="I529" s="3">
        <v>19804</v>
      </c>
      <c r="J529" s="10">
        <v>5</v>
      </c>
      <c r="K529" s="2">
        <v>150510.39999999999</v>
      </c>
      <c r="L529" s="2">
        <f>Raw_Sales_Data3[[#This Row],[Quantity]]*Raw_Sales_Data3[[#This Row],[Unit Price]]*(Raw_Sales_Data3[[#This Row],[Discount %]]/100)</f>
        <v>7921.6</v>
      </c>
      <c r="M529" t="str">
        <f>IF(COUNTIF(Raw_Sales_Data3[Order ID],Raw_Sales_Data3[[#This Row],[Order ID]])&gt;1,"Duplicate Order ID","Unique Order ID")</f>
        <v>Unique Order ID</v>
      </c>
    </row>
    <row r="530" spans="1:13" x14ac:dyDescent="0.3">
      <c r="A530" t="s">
        <v>579</v>
      </c>
      <c r="B530" s="1">
        <v>46028</v>
      </c>
      <c r="C530" t="s">
        <v>123</v>
      </c>
      <c r="D530" t="s">
        <v>23</v>
      </c>
      <c r="E530" t="s">
        <v>28</v>
      </c>
      <c r="F530" t="s">
        <v>14</v>
      </c>
      <c r="G530" t="s">
        <v>125</v>
      </c>
      <c r="H530" s="5">
        <v>6</v>
      </c>
      <c r="I530" s="3">
        <v>38094</v>
      </c>
      <c r="J530" s="10">
        <v>5</v>
      </c>
      <c r="K530" s="2">
        <v>217135.8</v>
      </c>
      <c r="L530" s="2">
        <f>Raw_Sales_Data3[[#This Row],[Quantity]]*Raw_Sales_Data3[[#This Row],[Unit Price]]*(Raw_Sales_Data3[[#This Row],[Discount %]]/100)</f>
        <v>11428.2</v>
      </c>
      <c r="M530" t="str">
        <f>IF(COUNTIF(Raw_Sales_Data3[Order ID],Raw_Sales_Data3[[#This Row],[Order ID]])&gt;1,"Duplicate Order ID","Unique Order ID")</f>
        <v>Unique Order ID</v>
      </c>
    </row>
    <row r="531" spans="1:13" x14ac:dyDescent="0.3">
      <c r="A531" t="s">
        <v>580</v>
      </c>
      <c r="B531" s="1">
        <v>46040</v>
      </c>
      <c r="C531" t="s">
        <v>86</v>
      </c>
      <c r="D531" t="s">
        <v>58</v>
      </c>
      <c r="E531" t="s">
        <v>34</v>
      </c>
      <c r="F531" t="s">
        <v>14</v>
      </c>
      <c r="G531" t="s">
        <v>98</v>
      </c>
      <c r="H531" s="5">
        <v>3</v>
      </c>
      <c r="I531" s="3">
        <v>9801</v>
      </c>
      <c r="J531" s="10">
        <v>5</v>
      </c>
      <c r="K531" s="2">
        <v>27932.85</v>
      </c>
      <c r="L531" s="2">
        <f>Raw_Sales_Data3[[#This Row],[Quantity]]*Raw_Sales_Data3[[#This Row],[Unit Price]]*(Raw_Sales_Data3[[#This Row],[Discount %]]/100)</f>
        <v>1470.15</v>
      </c>
      <c r="M531" t="str">
        <f>IF(COUNTIF(Raw_Sales_Data3[Order ID],Raw_Sales_Data3[[#This Row],[Order ID]])&gt;1,"Duplicate Order ID","Unique Order ID")</f>
        <v>Unique Order ID</v>
      </c>
    </row>
    <row r="532" spans="1:13" x14ac:dyDescent="0.3">
      <c r="A532" t="s">
        <v>581</v>
      </c>
      <c r="B532" s="1">
        <v>46105</v>
      </c>
      <c r="C532" t="s">
        <v>48</v>
      </c>
      <c r="D532" t="s">
        <v>43</v>
      </c>
      <c r="E532" t="s">
        <v>39</v>
      </c>
      <c r="F532" t="s">
        <v>14</v>
      </c>
      <c r="G532" t="s">
        <v>98</v>
      </c>
      <c r="H532" s="5">
        <v>10</v>
      </c>
      <c r="I532" s="3">
        <v>23067</v>
      </c>
      <c r="J532" s="10">
        <v>20</v>
      </c>
      <c r="K532" s="2">
        <v>184536</v>
      </c>
      <c r="L532" s="2">
        <f>Raw_Sales_Data3[[#This Row],[Quantity]]*Raw_Sales_Data3[[#This Row],[Unit Price]]*(Raw_Sales_Data3[[#This Row],[Discount %]]/100)</f>
        <v>46134</v>
      </c>
      <c r="M532" t="str">
        <f>IF(COUNTIF(Raw_Sales_Data3[Order ID],Raw_Sales_Data3[[#This Row],[Order ID]])&gt;1,"Duplicate Order ID","Unique Order ID")</f>
        <v>Unique Order ID</v>
      </c>
    </row>
    <row r="533" spans="1:13" x14ac:dyDescent="0.3">
      <c r="A533" t="s">
        <v>582</v>
      </c>
      <c r="B533" s="1">
        <v>46025</v>
      </c>
      <c r="C533" t="s">
        <v>62</v>
      </c>
      <c r="D533" t="s">
        <v>23</v>
      </c>
      <c r="E533" t="s">
        <v>18</v>
      </c>
      <c r="F533" t="s">
        <v>24</v>
      </c>
      <c r="G533" t="s">
        <v>55</v>
      </c>
      <c r="H533" s="5">
        <v>11</v>
      </c>
      <c r="I533" s="3">
        <v>15228</v>
      </c>
      <c r="J533" s="10">
        <v>20</v>
      </c>
      <c r="K533" s="2">
        <v>134006.39999999999</v>
      </c>
      <c r="L533" s="2">
        <f>Raw_Sales_Data3[[#This Row],[Quantity]]*Raw_Sales_Data3[[#This Row],[Unit Price]]*(Raw_Sales_Data3[[#This Row],[Discount %]]/100)</f>
        <v>33501.599999999999</v>
      </c>
      <c r="M533" t="str">
        <f>IF(COUNTIF(Raw_Sales_Data3[Order ID],Raw_Sales_Data3[[#This Row],[Order ID]])&gt;1,"Duplicate Order ID","Unique Order ID")</f>
        <v>Unique Order ID</v>
      </c>
    </row>
    <row r="534" spans="1:13" x14ac:dyDescent="0.3">
      <c r="A534" t="s">
        <v>583</v>
      </c>
      <c r="B534" s="1">
        <v>46070</v>
      </c>
      <c r="C534" t="s">
        <v>69</v>
      </c>
      <c r="D534" t="s">
        <v>23</v>
      </c>
      <c r="E534" t="s">
        <v>28</v>
      </c>
      <c r="F534" t="s">
        <v>24</v>
      </c>
      <c r="G534" t="s">
        <v>55</v>
      </c>
      <c r="H534" s="5">
        <v>12</v>
      </c>
      <c r="I534" s="3">
        <f>K534/H534</f>
        <v>23723</v>
      </c>
      <c r="J534" s="10">
        <v>0</v>
      </c>
      <c r="K534" s="2">
        <v>284676</v>
      </c>
      <c r="L534" s="2">
        <f>Raw_Sales_Data3[[#This Row],[Quantity]]*Raw_Sales_Data3[[#This Row],[Unit Price]]*(Raw_Sales_Data3[[#This Row],[Discount %]]/100)</f>
        <v>0</v>
      </c>
      <c r="M534" t="str">
        <f>IF(COUNTIF(Raw_Sales_Data3[Order ID],Raw_Sales_Data3[[#This Row],[Order ID]])&gt;1,"Duplicate Order ID","Unique Order ID")</f>
        <v>Unique Order ID</v>
      </c>
    </row>
    <row r="535" spans="1:13" x14ac:dyDescent="0.3">
      <c r="A535" t="s">
        <v>584</v>
      </c>
      <c r="B535" s="1">
        <v>46109</v>
      </c>
      <c r="C535" t="s">
        <v>54</v>
      </c>
      <c r="D535" t="s">
        <v>23</v>
      </c>
      <c r="E535" t="s">
        <v>13</v>
      </c>
      <c r="F535" t="s">
        <v>24</v>
      </c>
      <c r="G535" t="s">
        <v>71</v>
      </c>
      <c r="H535" s="5">
        <v>13</v>
      </c>
      <c r="I535" s="3">
        <v>44636</v>
      </c>
      <c r="J535" s="10">
        <v>20</v>
      </c>
      <c r="K535" s="2">
        <v>464214.4</v>
      </c>
      <c r="L535" s="2">
        <f>Raw_Sales_Data3[[#This Row],[Quantity]]*Raw_Sales_Data3[[#This Row],[Unit Price]]*(Raw_Sales_Data3[[#This Row],[Discount %]]/100)</f>
        <v>116053.6</v>
      </c>
      <c r="M535" t="str">
        <f>IF(COUNTIF(Raw_Sales_Data3[Order ID],Raw_Sales_Data3[[#This Row],[Order ID]])&gt;1,"Duplicate Order ID","Unique Order ID")</f>
        <v>Unique Order ID</v>
      </c>
    </row>
    <row r="536" spans="1:13" x14ac:dyDescent="0.3">
      <c r="A536" t="s">
        <v>585</v>
      </c>
      <c r="B536" s="1">
        <v>46032</v>
      </c>
      <c r="C536" t="s">
        <v>48</v>
      </c>
      <c r="D536" t="s">
        <v>70</v>
      </c>
      <c r="E536" t="s">
        <v>28</v>
      </c>
      <c r="F536" t="s">
        <v>14</v>
      </c>
      <c r="G536" t="s">
        <v>156</v>
      </c>
      <c r="H536" s="5">
        <v>4</v>
      </c>
      <c r="I536" s="3">
        <v>34690</v>
      </c>
      <c r="J536" s="10">
        <v>10</v>
      </c>
      <c r="K536" s="2">
        <v>124884</v>
      </c>
      <c r="L536" s="2">
        <f>Raw_Sales_Data3[[#This Row],[Quantity]]*Raw_Sales_Data3[[#This Row],[Unit Price]]*(Raw_Sales_Data3[[#This Row],[Discount %]]/100)</f>
        <v>13876</v>
      </c>
      <c r="M536" t="str">
        <f>IF(COUNTIF(Raw_Sales_Data3[Order ID],Raw_Sales_Data3[[#This Row],[Order ID]])&gt;1,"Duplicate Order ID","Unique Order ID")</f>
        <v>Unique Order ID</v>
      </c>
    </row>
    <row r="537" spans="1:13" x14ac:dyDescent="0.3">
      <c r="A537" t="s">
        <v>586</v>
      </c>
      <c r="B537" s="1">
        <v>46041</v>
      </c>
      <c r="C537" t="s">
        <v>33</v>
      </c>
      <c r="D537" t="s">
        <v>23</v>
      </c>
      <c r="E537" t="s">
        <v>39</v>
      </c>
      <c r="F537" t="s">
        <v>14</v>
      </c>
      <c r="G537" t="s">
        <v>66</v>
      </c>
      <c r="H537" s="5">
        <v>12</v>
      </c>
      <c r="I537" s="3">
        <v>8302</v>
      </c>
      <c r="J537" s="10">
        <v>10</v>
      </c>
      <c r="K537" s="2">
        <v>89661.6</v>
      </c>
      <c r="L537" s="2">
        <f>Raw_Sales_Data3[[#This Row],[Quantity]]*Raw_Sales_Data3[[#This Row],[Unit Price]]*(Raw_Sales_Data3[[#This Row],[Discount %]]/100)</f>
        <v>9962.4000000000015</v>
      </c>
      <c r="M537" t="str">
        <f>IF(COUNTIF(Raw_Sales_Data3[Order ID],Raw_Sales_Data3[[#This Row],[Order ID]])&gt;1,"Duplicate Order ID","Unique Order ID")</f>
        <v>Unique Order ID</v>
      </c>
    </row>
    <row r="538" spans="1:13" x14ac:dyDescent="0.3">
      <c r="A538" t="s">
        <v>587</v>
      </c>
      <c r="B538" s="1">
        <v>46035</v>
      </c>
      <c r="C538" t="s">
        <v>45</v>
      </c>
      <c r="D538" t="s">
        <v>70</v>
      </c>
      <c r="E538" t="s">
        <v>13</v>
      </c>
      <c r="F538" t="s">
        <v>24</v>
      </c>
      <c r="G538" t="s">
        <v>53</v>
      </c>
      <c r="H538" s="5">
        <f>K538/(I538*(1-J538/100))</f>
        <v>15</v>
      </c>
      <c r="I538" s="3">
        <v>30883</v>
      </c>
      <c r="J538" s="10">
        <v>15</v>
      </c>
      <c r="K538" s="2">
        <v>393758.25</v>
      </c>
      <c r="L538" s="2">
        <f>Raw_Sales_Data3[[#This Row],[Quantity]]*Raw_Sales_Data3[[#This Row],[Unit Price]]*(Raw_Sales_Data3[[#This Row],[Discount %]]/100)</f>
        <v>69486.75</v>
      </c>
      <c r="M538" t="str">
        <f>IF(COUNTIF(Raw_Sales_Data3[Order ID],Raw_Sales_Data3[[#This Row],[Order ID]])&gt;1,"Duplicate Order ID","Unique Order ID")</f>
        <v>Unique Order ID</v>
      </c>
    </row>
    <row r="539" spans="1:13" x14ac:dyDescent="0.3">
      <c r="A539" t="s">
        <v>588</v>
      </c>
      <c r="B539" s="1">
        <v>46051</v>
      </c>
      <c r="C539" t="s">
        <v>22</v>
      </c>
      <c r="D539" t="s">
        <v>70</v>
      </c>
      <c r="E539" t="s">
        <v>34</v>
      </c>
      <c r="F539" t="s">
        <v>24</v>
      </c>
      <c r="G539" t="s">
        <v>55</v>
      </c>
      <c r="H539" s="5">
        <v>4</v>
      </c>
      <c r="I539" s="3">
        <v>36939</v>
      </c>
      <c r="J539" s="10">
        <v>0</v>
      </c>
      <c r="K539" s="2">
        <v>147756</v>
      </c>
      <c r="L539" s="2">
        <f>Raw_Sales_Data3[[#This Row],[Quantity]]*Raw_Sales_Data3[[#This Row],[Unit Price]]*(Raw_Sales_Data3[[#This Row],[Discount %]]/100)</f>
        <v>0</v>
      </c>
      <c r="M539" t="str">
        <f>IF(COUNTIF(Raw_Sales_Data3[Order ID],Raw_Sales_Data3[[#This Row],[Order ID]])&gt;1,"Duplicate Order ID","Unique Order ID")</f>
        <v>Unique Order ID</v>
      </c>
    </row>
    <row r="540" spans="1:13" x14ac:dyDescent="0.3">
      <c r="A540" t="s">
        <v>589</v>
      </c>
      <c r="B540" s="1">
        <v>46080</v>
      </c>
      <c r="C540" t="s">
        <v>89</v>
      </c>
      <c r="D540" t="s">
        <v>23</v>
      </c>
      <c r="E540" t="s">
        <v>28</v>
      </c>
      <c r="F540" t="s">
        <v>19</v>
      </c>
      <c r="G540" t="s">
        <v>147</v>
      </c>
      <c r="H540" s="5">
        <v>3</v>
      </c>
      <c r="I540" s="3">
        <v>6985</v>
      </c>
      <c r="J540" s="10">
        <v>10</v>
      </c>
      <c r="K540" s="2">
        <v>18859.5</v>
      </c>
      <c r="L540" s="2">
        <f>Raw_Sales_Data3[[#This Row],[Quantity]]*Raw_Sales_Data3[[#This Row],[Unit Price]]*(Raw_Sales_Data3[[#This Row],[Discount %]]/100)</f>
        <v>2095.5</v>
      </c>
      <c r="M540" t="str">
        <f>IF(COUNTIF(Raw_Sales_Data3[Order ID],Raw_Sales_Data3[[#This Row],[Order ID]])&gt;1,"Duplicate Order ID","Unique Order ID")</f>
        <v>Unique Order ID</v>
      </c>
    </row>
    <row r="541" spans="1:13" x14ac:dyDescent="0.3">
      <c r="A541" t="s">
        <v>590</v>
      </c>
      <c r="B541" s="1">
        <v>46056</v>
      </c>
      <c r="C541" t="s">
        <v>22</v>
      </c>
      <c r="D541" t="s">
        <v>23</v>
      </c>
      <c r="E541" t="s">
        <v>39</v>
      </c>
      <c r="F541" t="s">
        <v>24</v>
      </c>
      <c r="G541" t="s">
        <v>29</v>
      </c>
      <c r="H541" s="5">
        <v>7</v>
      </c>
      <c r="I541" s="3">
        <v>40163</v>
      </c>
      <c r="J541" s="10">
        <v>20</v>
      </c>
      <c r="K541" s="2">
        <v>224912.8</v>
      </c>
      <c r="L541" s="2">
        <f>Raw_Sales_Data3[[#This Row],[Quantity]]*Raw_Sales_Data3[[#This Row],[Unit Price]]*(Raw_Sales_Data3[[#This Row],[Discount %]]/100)</f>
        <v>56228.200000000004</v>
      </c>
      <c r="M541" t="str">
        <f>IF(COUNTIF(Raw_Sales_Data3[Order ID],Raw_Sales_Data3[[#This Row],[Order ID]])&gt;1,"Duplicate Order ID","Unique Order ID")</f>
        <v>Unique Order ID</v>
      </c>
    </row>
    <row r="542" spans="1:13" x14ac:dyDescent="0.3">
      <c r="A542" t="s">
        <v>591</v>
      </c>
      <c r="B542" s="1">
        <v>46082</v>
      </c>
      <c r="C542" t="s">
        <v>86</v>
      </c>
      <c r="D542" t="s">
        <v>23</v>
      </c>
      <c r="E542" t="s">
        <v>13</v>
      </c>
      <c r="F542" t="s">
        <v>19</v>
      </c>
      <c r="G542" t="s">
        <v>79</v>
      </c>
      <c r="H542" s="5">
        <v>8</v>
      </c>
      <c r="I542" s="3">
        <v>34950</v>
      </c>
      <c r="J542" s="10">
        <v>5</v>
      </c>
      <c r="K542" s="2">
        <v>265620</v>
      </c>
      <c r="L542" s="2">
        <f>Raw_Sales_Data3[[#This Row],[Quantity]]*Raw_Sales_Data3[[#This Row],[Unit Price]]*(Raw_Sales_Data3[[#This Row],[Discount %]]/100)</f>
        <v>13980</v>
      </c>
      <c r="M542" t="str">
        <f>IF(COUNTIF(Raw_Sales_Data3[Order ID],Raw_Sales_Data3[[#This Row],[Order ID]])&gt;1,"Duplicate Order ID","Unique Order ID")</f>
        <v>Unique Order ID</v>
      </c>
    </row>
    <row r="543" spans="1:13" x14ac:dyDescent="0.3">
      <c r="A543" t="s">
        <v>592</v>
      </c>
      <c r="B543" s="1">
        <v>46068</v>
      </c>
      <c r="C543" t="s">
        <v>69</v>
      </c>
      <c r="D543" t="s">
        <v>70</v>
      </c>
      <c r="E543" t="s">
        <v>28</v>
      </c>
      <c r="F543" t="s">
        <v>24</v>
      </c>
      <c r="G543" t="s">
        <v>55</v>
      </c>
      <c r="H543" s="5">
        <v>12</v>
      </c>
      <c r="I543" s="3">
        <v>41820</v>
      </c>
      <c r="J543" s="10">
        <v>0</v>
      </c>
      <c r="K543" s="2">
        <v>501840</v>
      </c>
      <c r="L543" s="2">
        <f>Raw_Sales_Data3[[#This Row],[Quantity]]*Raw_Sales_Data3[[#This Row],[Unit Price]]*(Raw_Sales_Data3[[#This Row],[Discount %]]/100)</f>
        <v>0</v>
      </c>
      <c r="M543" t="str">
        <f>IF(COUNTIF(Raw_Sales_Data3[Order ID],Raw_Sales_Data3[[#This Row],[Order ID]])&gt;1,"Duplicate Order ID","Unique Order ID")</f>
        <v>Unique Order ID</v>
      </c>
    </row>
    <row r="544" spans="1:13" x14ac:dyDescent="0.3">
      <c r="A544" t="s">
        <v>593</v>
      </c>
      <c r="B544" s="1">
        <v>46074</v>
      </c>
      <c r="C544" t="s">
        <v>27</v>
      </c>
      <c r="D544" t="s">
        <v>43</v>
      </c>
      <c r="E544" t="s">
        <v>28</v>
      </c>
      <c r="F544" t="s">
        <v>19</v>
      </c>
      <c r="G544" t="s">
        <v>120</v>
      </c>
      <c r="H544" s="5">
        <v>4</v>
      </c>
      <c r="I544" s="3">
        <v>12098</v>
      </c>
      <c r="J544" s="10">
        <v>10</v>
      </c>
      <c r="K544" s="2">
        <v>43552.800000000003</v>
      </c>
      <c r="L544" s="2">
        <f>Raw_Sales_Data3[[#This Row],[Quantity]]*Raw_Sales_Data3[[#This Row],[Unit Price]]*(Raw_Sales_Data3[[#This Row],[Discount %]]/100)</f>
        <v>4839.2</v>
      </c>
      <c r="M544" t="str">
        <f>IF(COUNTIF(Raw_Sales_Data3[Order ID],Raw_Sales_Data3[[#This Row],[Order ID]])&gt;1,"Duplicate Order ID","Unique Order ID")</f>
        <v>Unique Order ID</v>
      </c>
    </row>
    <row r="545" spans="1:13" x14ac:dyDescent="0.3">
      <c r="A545" t="s">
        <v>594</v>
      </c>
      <c r="B545" s="1">
        <v>46074</v>
      </c>
      <c r="C545" t="s">
        <v>48</v>
      </c>
      <c r="D545" t="s">
        <v>58</v>
      </c>
      <c r="E545" t="s">
        <v>28</v>
      </c>
      <c r="F545" t="s">
        <v>19</v>
      </c>
      <c r="G545" t="s">
        <v>31</v>
      </c>
      <c r="H545" s="5">
        <v>2</v>
      </c>
      <c r="I545" s="3">
        <f>K545/H545</f>
        <v>18303</v>
      </c>
      <c r="J545" s="10">
        <v>0</v>
      </c>
      <c r="K545" s="2">
        <v>36606</v>
      </c>
      <c r="L545" s="2">
        <f>Raw_Sales_Data3[[#This Row],[Quantity]]*Raw_Sales_Data3[[#This Row],[Unit Price]]*(Raw_Sales_Data3[[#This Row],[Discount %]]/100)</f>
        <v>0</v>
      </c>
      <c r="M545" t="str">
        <f>IF(COUNTIF(Raw_Sales_Data3[Order ID],Raw_Sales_Data3[[#This Row],[Order ID]])&gt;1,"Duplicate Order ID","Unique Order ID")</f>
        <v>Unique Order ID</v>
      </c>
    </row>
    <row r="546" spans="1:13" x14ac:dyDescent="0.3">
      <c r="A546" t="s">
        <v>595</v>
      </c>
      <c r="B546" s="1">
        <v>46076</v>
      </c>
      <c r="C546" t="s">
        <v>42</v>
      </c>
      <c r="D546" t="s">
        <v>23</v>
      </c>
      <c r="E546" t="s">
        <v>18</v>
      </c>
      <c r="F546" t="s">
        <v>24</v>
      </c>
      <c r="G546" t="s">
        <v>29</v>
      </c>
      <c r="H546" s="5">
        <v>3</v>
      </c>
      <c r="I546" s="3">
        <v>43623</v>
      </c>
      <c r="J546" s="10">
        <v>20</v>
      </c>
      <c r="K546" s="2">
        <v>104695.2</v>
      </c>
      <c r="L546" s="2">
        <f>Raw_Sales_Data3[[#This Row],[Quantity]]*Raw_Sales_Data3[[#This Row],[Unit Price]]*(Raw_Sales_Data3[[#This Row],[Discount %]]/100)</f>
        <v>26173.800000000003</v>
      </c>
      <c r="M546" t="str">
        <f>IF(COUNTIF(Raw_Sales_Data3[Order ID],Raw_Sales_Data3[[#This Row],[Order ID]])&gt;1,"Duplicate Order ID","Unique Order ID")</f>
        <v>Duplicate Order ID</v>
      </c>
    </row>
    <row r="547" spans="1:13" x14ac:dyDescent="0.3">
      <c r="A547" t="s">
        <v>595</v>
      </c>
      <c r="B547" s="1">
        <v>46107</v>
      </c>
      <c r="C547" t="s">
        <v>54</v>
      </c>
      <c r="D547" t="s">
        <v>23</v>
      </c>
      <c r="E547" t="s">
        <v>39</v>
      </c>
      <c r="F547" t="s">
        <v>19</v>
      </c>
      <c r="G547" t="s">
        <v>79</v>
      </c>
      <c r="H547" s="5">
        <v>4</v>
      </c>
      <c r="I547" s="3">
        <v>37459</v>
      </c>
      <c r="J547" s="10">
        <v>20</v>
      </c>
      <c r="K547" s="2">
        <v>119868.8</v>
      </c>
      <c r="L547" s="2">
        <f>Raw_Sales_Data3[[#This Row],[Quantity]]*Raw_Sales_Data3[[#This Row],[Unit Price]]*(Raw_Sales_Data3[[#This Row],[Discount %]]/100)</f>
        <v>29967.200000000001</v>
      </c>
      <c r="M547" t="str">
        <f>IF(COUNTIF(Raw_Sales_Data3[Order ID],Raw_Sales_Data3[[#This Row],[Order ID]])&gt;1,"Duplicate Order ID","Unique Order ID")</f>
        <v>Duplicate Order ID</v>
      </c>
    </row>
    <row r="548" spans="1:13" x14ac:dyDescent="0.3">
      <c r="A548" t="s">
        <v>596</v>
      </c>
      <c r="B548" s="1">
        <v>46104</v>
      </c>
      <c r="C548" t="s">
        <v>62</v>
      </c>
      <c r="D548" t="s">
        <v>70</v>
      </c>
      <c r="E548" t="s">
        <v>13</v>
      </c>
      <c r="F548" t="s">
        <v>19</v>
      </c>
      <c r="G548" t="s">
        <v>59</v>
      </c>
      <c r="H548" s="5">
        <v>12</v>
      </c>
      <c r="I548" s="3">
        <v>42701</v>
      </c>
      <c r="J548" s="10">
        <v>0</v>
      </c>
      <c r="K548" s="2">
        <v>512412</v>
      </c>
      <c r="L548" s="2">
        <f>Raw_Sales_Data3[[#This Row],[Quantity]]*Raw_Sales_Data3[[#This Row],[Unit Price]]*(Raw_Sales_Data3[[#This Row],[Discount %]]/100)</f>
        <v>0</v>
      </c>
      <c r="M548" t="str">
        <f>IF(COUNTIF(Raw_Sales_Data3[Order ID],Raw_Sales_Data3[[#This Row],[Order ID]])&gt;1,"Duplicate Order ID","Unique Order ID")</f>
        <v>Unique Order ID</v>
      </c>
    </row>
    <row r="549" spans="1:13" x14ac:dyDescent="0.3">
      <c r="A549" t="s">
        <v>597</v>
      </c>
      <c r="B549" s="1">
        <v>46091</v>
      </c>
      <c r="C549" t="s">
        <v>123</v>
      </c>
      <c r="D549" t="s">
        <v>58</v>
      </c>
      <c r="E549" t="s">
        <v>13</v>
      </c>
      <c r="F549" t="s">
        <v>24</v>
      </c>
      <c r="G549" t="s">
        <v>29</v>
      </c>
      <c r="H549" s="5">
        <v>11</v>
      </c>
      <c r="I549" s="3">
        <v>26372</v>
      </c>
      <c r="J549" s="10">
        <v>10</v>
      </c>
      <c r="K549" s="2">
        <v>261082.8</v>
      </c>
      <c r="L549" s="2">
        <f>Raw_Sales_Data3[[#This Row],[Quantity]]*Raw_Sales_Data3[[#This Row],[Unit Price]]*(Raw_Sales_Data3[[#This Row],[Discount %]]/100)</f>
        <v>29009.200000000001</v>
      </c>
      <c r="M549" t="str">
        <f>IF(COUNTIF(Raw_Sales_Data3[Order ID],Raw_Sales_Data3[[#This Row],[Order ID]])&gt;1,"Duplicate Order ID","Unique Order ID")</f>
        <v>Unique Order ID</v>
      </c>
    </row>
    <row r="550" spans="1:13" x14ac:dyDescent="0.3">
      <c r="A550" t="s">
        <v>598</v>
      </c>
      <c r="B550" s="1">
        <v>46102</v>
      </c>
      <c r="C550" t="s">
        <v>57</v>
      </c>
      <c r="D550" t="s">
        <v>58</v>
      </c>
      <c r="E550" t="s">
        <v>28</v>
      </c>
      <c r="F550" t="s">
        <v>14</v>
      </c>
      <c r="G550" t="s">
        <v>98</v>
      </c>
      <c r="H550" s="5">
        <v>13</v>
      </c>
      <c r="I550" s="3">
        <v>45067</v>
      </c>
      <c r="J550" s="10">
        <v>0</v>
      </c>
      <c r="K550" s="2">
        <v>585871</v>
      </c>
      <c r="L550" s="2">
        <f>Raw_Sales_Data3[[#This Row],[Quantity]]*Raw_Sales_Data3[[#This Row],[Unit Price]]*(Raw_Sales_Data3[[#This Row],[Discount %]]/100)</f>
        <v>0</v>
      </c>
      <c r="M550" t="str">
        <f>IF(COUNTIF(Raw_Sales_Data3[Order ID],Raw_Sales_Data3[[#This Row],[Order ID]])&gt;1,"Duplicate Order ID","Unique Order ID")</f>
        <v>Unique Order ID</v>
      </c>
    </row>
    <row r="551" spans="1:13" x14ac:dyDescent="0.3">
      <c r="A551" t="s">
        <v>599</v>
      </c>
      <c r="B551" s="1">
        <v>46097</v>
      </c>
      <c r="C551" t="s">
        <v>57</v>
      </c>
      <c r="D551" t="s">
        <v>23</v>
      </c>
      <c r="E551" t="s">
        <v>39</v>
      </c>
      <c r="F551" t="s">
        <v>19</v>
      </c>
      <c r="G551" t="s">
        <v>1038</v>
      </c>
      <c r="H551" s="5">
        <v>7</v>
      </c>
      <c r="I551" s="3">
        <v>32486</v>
      </c>
      <c r="J551" s="10">
        <v>10</v>
      </c>
      <c r="K551" s="2">
        <v>204661.8</v>
      </c>
      <c r="L551" s="2">
        <f>Raw_Sales_Data3[[#This Row],[Quantity]]*Raw_Sales_Data3[[#This Row],[Unit Price]]*(Raw_Sales_Data3[[#This Row],[Discount %]]/100)</f>
        <v>22740.2</v>
      </c>
      <c r="M551" t="str">
        <f>IF(COUNTIF(Raw_Sales_Data3[Order ID],Raw_Sales_Data3[[#This Row],[Order ID]])&gt;1,"Duplicate Order ID","Unique Order ID")</f>
        <v>Unique Order ID</v>
      </c>
    </row>
    <row r="552" spans="1:13" x14ac:dyDescent="0.3">
      <c r="A552" t="s">
        <v>600</v>
      </c>
      <c r="B552" s="1">
        <v>46044</v>
      </c>
      <c r="C552" t="s">
        <v>17</v>
      </c>
      <c r="D552" t="s">
        <v>23</v>
      </c>
      <c r="E552" t="s">
        <v>34</v>
      </c>
      <c r="F552" t="s">
        <v>19</v>
      </c>
      <c r="G552" t="s">
        <v>40</v>
      </c>
      <c r="H552" s="5">
        <v>15</v>
      </c>
      <c r="I552" s="3">
        <v>29297</v>
      </c>
      <c r="J552" s="10">
        <v>20</v>
      </c>
      <c r="K552" s="2">
        <v>351564</v>
      </c>
      <c r="L552" s="2">
        <f>Raw_Sales_Data3[[#This Row],[Quantity]]*Raw_Sales_Data3[[#This Row],[Unit Price]]*(Raw_Sales_Data3[[#This Row],[Discount %]]/100)</f>
        <v>87891</v>
      </c>
      <c r="M552" t="str">
        <f>IF(COUNTIF(Raw_Sales_Data3[Order ID],Raw_Sales_Data3[[#This Row],[Order ID]])&gt;1,"Duplicate Order ID","Unique Order ID")</f>
        <v>Unique Order ID</v>
      </c>
    </row>
    <row r="553" spans="1:13" x14ac:dyDescent="0.3">
      <c r="A553" t="s">
        <v>601</v>
      </c>
      <c r="B553" s="1">
        <v>46103</v>
      </c>
      <c r="C553" t="s">
        <v>86</v>
      </c>
      <c r="D553" t="s">
        <v>58</v>
      </c>
      <c r="E553" t="s">
        <v>28</v>
      </c>
      <c r="F553" t="s">
        <v>19</v>
      </c>
      <c r="G553" t="s">
        <v>20</v>
      </c>
      <c r="H553" s="5">
        <v>7</v>
      </c>
      <c r="I553" s="3">
        <f>K553/H553</f>
        <v>42587</v>
      </c>
      <c r="J553" s="10">
        <v>0</v>
      </c>
      <c r="K553" s="2">
        <v>298109</v>
      </c>
      <c r="L553" s="2">
        <f>Raw_Sales_Data3[[#This Row],[Quantity]]*Raw_Sales_Data3[[#This Row],[Unit Price]]*(Raw_Sales_Data3[[#This Row],[Discount %]]/100)</f>
        <v>0</v>
      </c>
      <c r="M553" t="str">
        <f>IF(COUNTIF(Raw_Sales_Data3[Order ID],Raw_Sales_Data3[[#This Row],[Order ID]])&gt;1,"Duplicate Order ID","Unique Order ID")</f>
        <v>Unique Order ID</v>
      </c>
    </row>
    <row r="554" spans="1:13" x14ac:dyDescent="0.3">
      <c r="A554" t="s">
        <v>602</v>
      </c>
      <c r="B554" s="1">
        <v>46039</v>
      </c>
      <c r="C554" t="s">
        <v>54</v>
      </c>
      <c r="D554" t="s">
        <v>43</v>
      </c>
      <c r="E554" t="s">
        <v>18</v>
      </c>
      <c r="F554" t="s">
        <v>24</v>
      </c>
      <c r="G554" t="s">
        <v>71</v>
      </c>
      <c r="H554" s="5">
        <v>2</v>
      </c>
      <c r="I554" s="3">
        <v>22231</v>
      </c>
      <c r="J554" s="10">
        <v>20</v>
      </c>
      <c r="K554" s="2">
        <v>35569.599999999999</v>
      </c>
      <c r="L554" s="2">
        <f>Raw_Sales_Data3[[#This Row],[Quantity]]*Raw_Sales_Data3[[#This Row],[Unit Price]]*(Raw_Sales_Data3[[#This Row],[Discount %]]/100)</f>
        <v>8892.4</v>
      </c>
      <c r="M554" t="str">
        <f>IF(COUNTIF(Raw_Sales_Data3[Order ID],Raw_Sales_Data3[[#This Row],[Order ID]])&gt;1,"Duplicate Order ID","Unique Order ID")</f>
        <v>Unique Order ID</v>
      </c>
    </row>
    <row r="555" spans="1:13" x14ac:dyDescent="0.3">
      <c r="A555" t="s">
        <v>603</v>
      </c>
      <c r="B555" s="1">
        <v>46056</v>
      </c>
      <c r="C555" t="s">
        <v>91</v>
      </c>
      <c r="D555" t="s">
        <v>43</v>
      </c>
      <c r="E555" t="s">
        <v>13</v>
      </c>
      <c r="F555" t="s">
        <v>24</v>
      </c>
      <c r="G555" t="s">
        <v>55</v>
      </c>
      <c r="H555" s="5">
        <v>3</v>
      </c>
      <c r="I555" s="3">
        <v>37813</v>
      </c>
      <c r="J555" s="10">
        <v>0</v>
      </c>
      <c r="K555" s="2">
        <v>113439</v>
      </c>
      <c r="L555" s="2">
        <f>Raw_Sales_Data3[[#This Row],[Quantity]]*Raw_Sales_Data3[[#This Row],[Unit Price]]*(Raw_Sales_Data3[[#This Row],[Discount %]]/100)</f>
        <v>0</v>
      </c>
      <c r="M555" t="str">
        <f>IF(COUNTIF(Raw_Sales_Data3[Order ID],Raw_Sales_Data3[[#This Row],[Order ID]])&gt;1,"Duplicate Order ID","Unique Order ID")</f>
        <v>Unique Order ID</v>
      </c>
    </row>
    <row r="556" spans="1:13" x14ac:dyDescent="0.3">
      <c r="A556" t="s">
        <v>604</v>
      </c>
      <c r="B556" s="1"/>
      <c r="C556" t="s">
        <v>64</v>
      </c>
      <c r="D556" t="s">
        <v>70</v>
      </c>
      <c r="E556" t="s">
        <v>18</v>
      </c>
      <c r="F556" t="s">
        <v>24</v>
      </c>
      <c r="G556" t="s">
        <v>77</v>
      </c>
      <c r="H556" s="5">
        <v>2</v>
      </c>
      <c r="I556" s="3">
        <v>17559</v>
      </c>
      <c r="J556" s="10">
        <v>10</v>
      </c>
      <c r="K556" s="2">
        <v>31606.2</v>
      </c>
      <c r="L556" s="2">
        <f>Raw_Sales_Data3[[#This Row],[Quantity]]*Raw_Sales_Data3[[#This Row],[Unit Price]]*(Raw_Sales_Data3[[#This Row],[Discount %]]/100)</f>
        <v>3511.8</v>
      </c>
      <c r="M556" t="str">
        <f>IF(COUNTIF(Raw_Sales_Data3[Order ID],Raw_Sales_Data3[[#This Row],[Order ID]])&gt;1,"Duplicate Order ID","Unique Order ID")</f>
        <v>Unique Order ID</v>
      </c>
    </row>
    <row r="557" spans="1:13" x14ac:dyDescent="0.3">
      <c r="A557" t="s">
        <v>605</v>
      </c>
      <c r="B557" s="1">
        <v>46046</v>
      </c>
      <c r="C557" t="s">
        <v>22</v>
      </c>
      <c r="D557" t="s">
        <v>70</v>
      </c>
      <c r="E557" t="s">
        <v>18</v>
      </c>
      <c r="F557" t="s">
        <v>24</v>
      </c>
      <c r="G557" t="s">
        <v>53</v>
      </c>
      <c r="H557" s="5">
        <f>K557/(I557*(1-J557/100))</f>
        <v>3</v>
      </c>
      <c r="I557" s="3">
        <v>30010</v>
      </c>
      <c r="J557" s="10">
        <v>0</v>
      </c>
      <c r="K557" s="2">
        <v>90030</v>
      </c>
      <c r="L557" s="2">
        <f>Raw_Sales_Data3[[#This Row],[Quantity]]*Raw_Sales_Data3[[#This Row],[Unit Price]]*(Raw_Sales_Data3[[#This Row],[Discount %]]/100)</f>
        <v>0</v>
      </c>
      <c r="M557" t="str">
        <f>IF(COUNTIF(Raw_Sales_Data3[Order ID],Raw_Sales_Data3[[#This Row],[Order ID]])&gt;1,"Duplicate Order ID","Unique Order ID")</f>
        <v>Unique Order ID</v>
      </c>
    </row>
    <row r="558" spans="1:13" x14ac:dyDescent="0.3">
      <c r="A558" t="s">
        <v>606</v>
      </c>
      <c r="B558" s="1">
        <v>46064</v>
      </c>
      <c r="C558" t="s">
        <v>54</v>
      </c>
      <c r="D558" t="s">
        <v>58</v>
      </c>
      <c r="E558" t="s">
        <v>13</v>
      </c>
      <c r="F558" t="s">
        <v>14</v>
      </c>
      <c r="G558" t="s">
        <v>125</v>
      </c>
      <c r="H558" s="5">
        <v>12</v>
      </c>
      <c r="I558" s="3">
        <v>47943</v>
      </c>
      <c r="J558" s="10">
        <v>20</v>
      </c>
      <c r="K558" s="2">
        <v>460252.8</v>
      </c>
      <c r="L558" s="2">
        <f>Raw_Sales_Data3[[#This Row],[Quantity]]*Raw_Sales_Data3[[#This Row],[Unit Price]]*(Raw_Sales_Data3[[#This Row],[Discount %]]/100)</f>
        <v>115063.20000000001</v>
      </c>
      <c r="M558" t="str">
        <f>IF(COUNTIF(Raw_Sales_Data3[Order ID],Raw_Sales_Data3[[#This Row],[Order ID]])&gt;1,"Duplicate Order ID","Unique Order ID")</f>
        <v>Unique Order ID</v>
      </c>
    </row>
    <row r="559" spans="1:13" x14ac:dyDescent="0.3">
      <c r="A559" t="s">
        <v>607</v>
      </c>
      <c r="B559" s="1">
        <v>46104</v>
      </c>
      <c r="C559" t="s">
        <v>48</v>
      </c>
      <c r="D559" t="s">
        <v>23</v>
      </c>
      <c r="E559" t="s">
        <v>39</v>
      </c>
      <c r="F559" t="s">
        <v>14</v>
      </c>
      <c r="G559" t="s">
        <v>51</v>
      </c>
      <c r="H559" s="5">
        <v>7</v>
      </c>
      <c r="I559" s="3">
        <v>44954</v>
      </c>
      <c r="J559" s="10">
        <v>20</v>
      </c>
      <c r="K559" s="2">
        <v>251742.4</v>
      </c>
      <c r="L559" s="2">
        <f>Raw_Sales_Data3[[#This Row],[Quantity]]*Raw_Sales_Data3[[#This Row],[Unit Price]]*(Raw_Sales_Data3[[#This Row],[Discount %]]/100)</f>
        <v>62935.600000000006</v>
      </c>
      <c r="M559" t="str">
        <f>IF(COUNTIF(Raw_Sales_Data3[Order ID],Raw_Sales_Data3[[#This Row],[Order ID]])&gt;1,"Duplicate Order ID","Unique Order ID")</f>
        <v>Unique Order ID</v>
      </c>
    </row>
    <row r="560" spans="1:13" x14ac:dyDescent="0.3">
      <c r="A560" t="s">
        <v>608</v>
      </c>
      <c r="B560" s="1">
        <v>46070</v>
      </c>
      <c r="C560" t="s">
        <v>12</v>
      </c>
      <c r="D560" t="s">
        <v>70</v>
      </c>
      <c r="E560" t="s">
        <v>13</v>
      </c>
      <c r="F560" t="s">
        <v>14</v>
      </c>
      <c r="G560" t="s">
        <v>73</v>
      </c>
      <c r="H560" s="5">
        <v>3</v>
      </c>
      <c r="I560" s="3">
        <v>8005</v>
      </c>
      <c r="J560" s="10">
        <v>20</v>
      </c>
      <c r="K560" s="2">
        <v>19212</v>
      </c>
      <c r="L560" s="2">
        <f>Raw_Sales_Data3[[#This Row],[Quantity]]*Raw_Sales_Data3[[#This Row],[Unit Price]]*(Raw_Sales_Data3[[#This Row],[Discount %]]/100)</f>
        <v>4803</v>
      </c>
      <c r="M560" t="str">
        <f>IF(COUNTIF(Raw_Sales_Data3[Order ID],Raw_Sales_Data3[[#This Row],[Order ID]])&gt;1,"Duplicate Order ID","Unique Order ID")</f>
        <v>Unique Order ID</v>
      </c>
    </row>
    <row r="561" spans="1:13" x14ac:dyDescent="0.3">
      <c r="A561" t="s">
        <v>609</v>
      </c>
      <c r="B561" s="1">
        <v>46106</v>
      </c>
      <c r="C561" t="s">
        <v>17</v>
      </c>
      <c r="D561" t="s">
        <v>70</v>
      </c>
      <c r="E561" t="s">
        <v>18</v>
      </c>
      <c r="F561" t="s">
        <v>14</v>
      </c>
      <c r="G561" t="s">
        <v>15</v>
      </c>
      <c r="H561" s="5">
        <v>3</v>
      </c>
      <c r="I561" s="3">
        <v>35086</v>
      </c>
      <c r="J561" s="10">
        <v>15</v>
      </c>
      <c r="K561" s="2">
        <v>89469.3</v>
      </c>
      <c r="L561" s="2">
        <f>Raw_Sales_Data3[[#This Row],[Quantity]]*Raw_Sales_Data3[[#This Row],[Unit Price]]*(Raw_Sales_Data3[[#This Row],[Discount %]]/100)</f>
        <v>15788.699999999999</v>
      </c>
      <c r="M561" t="str">
        <f>IF(COUNTIF(Raw_Sales_Data3[Order ID],Raw_Sales_Data3[[#This Row],[Order ID]])&gt;1,"Duplicate Order ID","Unique Order ID")</f>
        <v>Unique Order ID</v>
      </c>
    </row>
    <row r="562" spans="1:13" x14ac:dyDescent="0.3">
      <c r="A562" t="s">
        <v>610</v>
      </c>
      <c r="B562" s="1">
        <v>46085</v>
      </c>
      <c r="C562" t="s">
        <v>54</v>
      </c>
      <c r="D562" t="s">
        <v>43</v>
      </c>
      <c r="E562" t="s">
        <v>34</v>
      </c>
      <c r="F562" t="s">
        <v>24</v>
      </c>
      <c r="G562" t="s">
        <v>53</v>
      </c>
      <c r="H562" s="5">
        <v>12</v>
      </c>
      <c r="I562" s="3">
        <v>13315</v>
      </c>
      <c r="J562" s="10">
        <v>20</v>
      </c>
      <c r="K562" s="2">
        <v>127824</v>
      </c>
      <c r="L562" s="2">
        <f>Raw_Sales_Data3[[#This Row],[Quantity]]*Raw_Sales_Data3[[#This Row],[Unit Price]]*(Raw_Sales_Data3[[#This Row],[Discount %]]/100)</f>
        <v>31956</v>
      </c>
      <c r="M562" t="str">
        <f>IF(COUNTIF(Raw_Sales_Data3[Order ID],Raw_Sales_Data3[[#This Row],[Order ID]])&gt;1,"Duplicate Order ID","Unique Order ID")</f>
        <v>Unique Order ID</v>
      </c>
    </row>
    <row r="563" spans="1:13" x14ac:dyDescent="0.3">
      <c r="A563" t="s">
        <v>611</v>
      </c>
      <c r="B563" s="1">
        <v>46095</v>
      </c>
      <c r="C563" t="s">
        <v>22</v>
      </c>
      <c r="D563" t="s">
        <v>70</v>
      </c>
      <c r="E563" t="s">
        <v>18</v>
      </c>
      <c r="F563" t="s">
        <v>24</v>
      </c>
      <c r="G563" t="s">
        <v>71</v>
      </c>
      <c r="H563" s="5">
        <v>14</v>
      </c>
      <c r="I563" s="3">
        <v>5773</v>
      </c>
      <c r="J563" s="10">
        <v>0</v>
      </c>
      <c r="K563" s="2">
        <v>80822</v>
      </c>
      <c r="L563" s="2">
        <f>Raw_Sales_Data3[[#This Row],[Quantity]]*Raw_Sales_Data3[[#This Row],[Unit Price]]*(Raw_Sales_Data3[[#This Row],[Discount %]]/100)</f>
        <v>0</v>
      </c>
      <c r="M563" t="str">
        <f>IF(COUNTIF(Raw_Sales_Data3[Order ID],Raw_Sales_Data3[[#This Row],[Order ID]])&gt;1,"Duplicate Order ID","Unique Order ID")</f>
        <v>Unique Order ID</v>
      </c>
    </row>
    <row r="564" spans="1:13" x14ac:dyDescent="0.3">
      <c r="A564" t="s">
        <v>612</v>
      </c>
      <c r="B564" s="1">
        <v>46087</v>
      </c>
      <c r="C564" t="s">
        <v>123</v>
      </c>
      <c r="D564" t="s">
        <v>43</v>
      </c>
      <c r="E564" t="s">
        <v>13</v>
      </c>
      <c r="F564" t="s">
        <v>14</v>
      </c>
      <c r="G564" t="s">
        <v>98</v>
      </c>
      <c r="H564" s="5">
        <v>8</v>
      </c>
      <c r="I564" s="3">
        <v>15685</v>
      </c>
      <c r="J564" s="10">
        <v>20</v>
      </c>
      <c r="K564" s="2">
        <v>100384</v>
      </c>
      <c r="L564" s="2">
        <f>Raw_Sales_Data3[[#This Row],[Quantity]]*Raw_Sales_Data3[[#This Row],[Unit Price]]*(Raw_Sales_Data3[[#This Row],[Discount %]]/100)</f>
        <v>25096</v>
      </c>
      <c r="M564" t="str">
        <f>IF(COUNTIF(Raw_Sales_Data3[Order ID],Raw_Sales_Data3[[#This Row],[Order ID]])&gt;1,"Duplicate Order ID","Unique Order ID")</f>
        <v>Unique Order ID</v>
      </c>
    </row>
    <row r="565" spans="1:13" x14ac:dyDescent="0.3">
      <c r="A565" t="s">
        <v>613</v>
      </c>
      <c r="B565" s="1">
        <v>46086</v>
      </c>
      <c r="C565" t="s">
        <v>12</v>
      </c>
      <c r="D565" t="s">
        <v>43</v>
      </c>
      <c r="E565" t="s">
        <v>13</v>
      </c>
      <c r="F565" t="s">
        <v>24</v>
      </c>
      <c r="G565" t="s">
        <v>71</v>
      </c>
      <c r="H565" s="5">
        <v>15</v>
      </c>
      <c r="I565" s="3">
        <v>54105</v>
      </c>
      <c r="J565" s="10">
        <v>20</v>
      </c>
      <c r="K565" s="2">
        <v>649260</v>
      </c>
      <c r="L565" s="2">
        <f>Raw_Sales_Data3[[#This Row],[Quantity]]*Raw_Sales_Data3[[#This Row],[Unit Price]]*(Raw_Sales_Data3[[#This Row],[Discount %]]/100)</f>
        <v>162315</v>
      </c>
      <c r="M565" t="str">
        <f>IF(COUNTIF(Raw_Sales_Data3[Order ID],Raw_Sales_Data3[[#This Row],[Order ID]])&gt;1,"Duplicate Order ID","Unique Order ID")</f>
        <v>Unique Order ID</v>
      </c>
    </row>
    <row r="566" spans="1:13" x14ac:dyDescent="0.3">
      <c r="A566" t="s">
        <v>614</v>
      </c>
      <c r="B566" s="1">
        <v>46044</v>
      </c>
      <c r="C566" t="s">
        <v>42</v>
      </c>
      <c r="D566" t="s">
        <v>70</v>
      </c>
      <c r="E566" t="s">
        <v>34</v>
      </c>
      <c r="F566" t="s">
        <v>19</v>
      </c>
      <c r="G566" t="s">
        <v>59</v>
      </c>
      <c r="H566" s="5">
        <v>5</v>
      </c>
      <c r="I566" s="3">
        <v>9737</v>
      </c>
      <c r="J566" s="10">
        <v>15</v>
      </c>
      <c r="K566" s="2">
        <v>41382.25</v>
      </c>
      <c r="L566" s="2">
        <f>Raw_Sales_Data3[[#This Row],[Quantity]]*Raw_Sales_Data3[[#This Row],[Unit Price]]*(Raw_Sales_Data3[[#This Row],[Discount %]]/100)</f>
        <v>7302.75</v>
      </c>
      <c r="M566" t="str">
        <f>IF(COUNTIF(Raw_Sales_Data3[Order ID],Raw_Sales_Data3[[#This Row],[Order ID]])&gt;1,"Duplicate Order ID","Unique Order ID")</f>
        <v>Unique Order ID</v>
      </c>
    </row>
    <row r="567" spans="1:13" x14ac:dyDescent="0.3">
      <c r="A567" t="s">
        <v>615</v>
      </c>
      <c r="B567" s="1">
        <v>46112</v>
      </c>
      <c r="C567" t="s">
        <v>50</v>
      </c>
      <c r="D567" t="s">
        <v>70</v>
      </c>
      <c r="E567" t="s">
        <v>13</v>
      </c>
      <c r="F567" t="s">
        <v>14</v>
      </c>
      <c r="G567" t="s">
        <v>15</v>
      </c>
      <c r="H567" s="5">
        <v>11</v>
      </c>
      <c r="I567" s="3">
        <v>7009</v>
      </c>
      <c r="J567" s="10">
        <v>0</v>
      </c>
      <c r="K567" s="2">
        <v>77099</v>
      </c>
      <c r="L567" s="2">
        <f>Raw_Sales_Data3[[#This Row],[Quantity]]*Raw_Sales_Data3[[#This Row],[Unit Price]]*(Raw_Sales_Data3[[#This Row],[Discount %]]/100)</f>
        <v>0</v>
      </c>
      <c r="M567" t="str">
        <f>IF(COUNTIF(Raw_Sales_Data3[Order ID],Raw_Sales_Data3[[#This Row],[Order ID]])&gt;1,"Duplicate Order ID","Unique Order ID")</f>
        <v>Unique Order ID</v>
      </c>
    </row>
    <row r="568" spans="1:13" x14ac:dyDescent="0.3">
      <c r="A568" t="s">
        <v>616</v>
      </c>
      <c r="B568" s="1">
        <v>46075</v>
      </c>
      <c r="C568" t="s">
        <v>123</v>
      </c>
      <c r="D568" t="s">
        <v>43</v>
      </c>
      <c r="E568" t="s">
        <v>39</v>
      </c>
      <c r="F568" t="s">
        <v>19</v>
      </c>
      <c r="G568" t="s">
        <v>117</v>
      </c>
      <c r="H568" s="5">
        <v>5</v>
      </c>
      <c r="I568" s="3">
        <v>1656</v>
      </c>
      <c r="J568" s="10">
        <v>10</v>
      </c>
      <c r="K568" s="2">
        <v>7452</v>
      </c>
      <c r="L568" s="2">
        <f>Raw_Sales_Data3[[#This Row],[Quantity]]*Raw_Sales_Data3[[#This Row],[Unit Price]]*(Raw_Sales_Data3[[#This Row],[Discount %]]/100)</f>
        <v>828</v>
      </c>
      <c r="M568" t="str">
        <f>IF(COUNTIF(Raw_Sales_Data3[Order ID],Raw_Sales_Data3[[#This Row],[Order ID]])&gt;1,"Duplicate Order ID","Unique Order ID")</f>
        <v>Duplicate Order ID</v>
      </c>
    </row>
    <row r="569" spans="1:13" x14ac:dyDescent="0.3">
      <c r="A569" t="s">
        <v>616</v>
      </c>
      <c r="B569" s="1">
        <v>46038</v>
      </c>
      <c r="C569" t="s">
        <v>123</v>
      </c>
      <c r="D569" t="s">
        <v>58</v>
      </c>
      <c r="E569" t="s">
        <v>34</v>
      </c>
      <c r="F569" t="s">
        <v>19</v>
      </c>
      <c r="G569" t="s">
        <v>59</v>
      </c>
      <c r="H569" s="5">
        <v>6</v>
      </c>
      <c r="I569" s="3">
        <v>50010</v>
      </c>
      <c r="J569" s="10">
        <v>0</v>
      </c>
      <c r="K569" s="2">
        <v>300060</v>
      </c>
      <c r="L569" s="2">
        <f>Raw_Sales_Data3[[#This Row],[Quantity]]*Raw_Sales_Data3[[#This Row],[Unit Price]]*(Raw_Sales_Data3[[#This Row],[Discount %]]/100)</f>
        <v>0</v>
      </c>
      <c r="M569" t="str">
        <f>IF(COUNTIF(Raw_Sales_Data3[Order ID],Raw_Sales_Data3[[#This Row],[Order ID]])&gt;1,"Duplicate Order ID","Unique Order ID")</f>
        <v>Duplicate Order ID</v>
      </c>
    </row>
    <row r="570" spans="1:13" x14ac:dyDescent="0.3">
      <c r="A570" t="s">
        <v>617</v>
      </c>
      <c r="B570" s="1">
        <v>46053</v>
      </c>
      <c r="C570" t="s">
        <v>57</v>
      </c>
      <c r="D570" t="s">
        <v>58</v>
      </c>
      <c r="E570" t="s">
        <v>13</v>
      </c>
      <c r="F570" t="s">
        <v>14</v>
      </c>
      <c r="G570" t="s">
        <v>156</v>
      </c>
      <c r="H570" s="5">
        <v>10</v>
      </c>
      <c r="I570" s="3">
        <v>10582</v>
      </c>
      <c r="J570" s="10">
        <v>0</v>
      </c>
      <c r="K570" s="2">
        <v>105820</v>
      </c>
      <c r="L570" s="2">
        <f>Raw_Sales_Data3[[#This Row],[Quantity]]*Raw_Sales_Data3[[#This Row],[Unit Price]]*(Raw_Sales_Data3[[#This Row],[Discount %]]/100)</f>
        <v>0</v>
      </c>
      <c r="M570" t="str">
        <f>IF(COUNTIF(Raw_Sales_Data3[Order ID],Raw_Sales_Data3[[#This Row],[Order ID]])&gt;1,"Duplicate Order ID","Unique Order ID")</f>
        <v>Unique Order ID</v>
      </c>
    </row>
    <row r="571" spans="1:13" x14ac:dyDescent="0.3">
      <c r="A571" t="s">
        <v>618</v>
      </c>
      <c r="B571" s="1">
        <v>46026</v>
      </c>
      <c r="C571" t="s">
        <v>50</v>
      </c>
      <c r="D571" t="s">
        <v>43</v>
      </c>
      <c r="E571" t="s">
        <v>39</v>
      </c>
      <c r="F571" t="s">
        <v>14</v>
      </c>
      <c r="G571" t="s">
        <v>15</v>
      </c>
      <c r="H571" s="5">
        <v>7</v>
      </c>
      <c r="I571" s="3">
        <v>36030</v>
      </c>
      <c r="J571" s="10">
        <v>15</v>
      </c>
      <c r="K571" s="2">
        <v>214378.5</v>
      </c>
      <c r="L571" s="2">
        <f>Raw_Sales_Data3[[#This Row],[Quantity]]*Raw_Sales_Data3[[#This Row],[Unit Price]]*(Raw_Sales_Data3[[#This Row],[Discount %]]/100)</f>
        <v>37831.5</v>
      </c>
      <c r="M571" t="str">
        <f>IF(COUNTIF(Raw_Sales_Data3[Order ID],Raw_Sales_Data3[[#This Row],[Order ID]])&gt;1,"Duplicate Order ID","Unique Order ID")</f>
        <v>Unique Order ID</v>
      </c>
    </row>
    <row r="572" spans="1:13" x14ac:dyDescent="0.3">
      <c r="A572" t="s">
        <v>619</v>
      </c>
      <c r="B572" s="1">
        <v>46071</v>
      </c>
      <c r="C572" t="s">
        <v>27</v>
      </c>
      <c r="D572" t="s">
        <v>43</v>
      </c>
      <c r="E572" t="s">
        <v>28</v>
      </c>
      <c r="F572" t="s">
        <v>19</v>
      </c>
      <c r="G572" t="s">
        <v>147</v>
      </c>
      <c r="H572" s="5">
        <v>3</v>
      </c>
      <c r="I572" s="3">
        <v>26478</v>
      </c>
      <c r="J572" s="10">
        <v>15</v>
      </c>
      <c r="K572" s="2">
        <v>67518.899999999994</v>
      </c>
      <c r="L572" s="2">
        <f>Raw_Sales_Data3[[#This Row],[Quantity]]*Raw_Sales_Data3[[#This Row],[Unit Price]]*(Raw_Sales_Data3[[#This Row],[Discount %]]/100)</f>
        <v>11915.1</v>
      </c>
      <c r="M572" t="str">
        <f>IF(COUNTIF(Raw_Sales_Data3[Order ID],Raw_Sales_Data3[[#This Row],[Order ID]])&gt;1,"Duplicate Order ID","Unique Order ID")</f>
        <v>Unique Order ID</v>
      </c>
    </row>
    <row r="573" spans="1:13" x14ac:dyDescent="0.3">
      <c r="A573" t="s">
        <v>620</v>
      </c>
      <c r="B573" s="1">
        <v>46031</v>
      </c>
      <c r="C573" t="s">
        <v>12</v>
      </c>
      <c r="D573" t="s">
        <v>58</v>
      </c>
      <c r="E573" t="s">
        <v>13</v>
      </c>
      <c r="F573" t="s">
        <v>14</v>
      </c>
      <c r="G573" t="s">
        <v>125</v>
      </c>
      <c r="H573" s="5">
        <v>2</v>
      </c>
      <c r="I573" s="3">
        <v>47114</v>
      </c>
      <c r="J573" s="10">
        <v>0</v>
      </c>
      <c r="K573" s="2">
        <v>94228</v>
      </c>
      <c r="L573" s="2">
        <f>Raw_Sales_Data3[[#This Row],[Quantity]]*Raw_Sales_Data3[[#This Row],[Unit Price]]*(Raw_Sales_Data3[[#This Row],[Discount %]]/100)</f>
        <v>0</v>
      </c>
      <c r="M573" t="str">
        <f>IF(COUNTIF(Raw_Sales_Data3[Order ID],Raw_Sales_Data3[[#This Row],[Order ID]])&gt;1,"Duplicate Order ID","Unique Order ID")</f>
        <v>Unique Order ID</v>
      </c>
    </row>
    <row r="574" spans="1:13" x14ac:dyDescent="0.3">
      <c r="A574" t="s">
        <v>621</v>
      </c>
      <c r="B574" s="1">
        <v>46081</v>
      </c>
      <c r="C574" t="s">
        <v>54</v>
      </c>
      <c r="D574" t="s">
        <v>23</v>
      </c>
      <c r="E574" t="s">
        <v>28</v>
      </c>
      <c r="F574" t="s">
        <v>24</v>
      </c>
      <c r="G574" t="s">
        <v>55</v>
      </c>
      <c r="H574" s="5">
        <v>6</v>
      </c>
      <c r="I574" s="3">
        <v>2779</v>
      </c>
      <c r="J574" s="10">
        <v>15</v>
      </c>
      <c r="K574" s="2">
        <v>14172.9</v>
      </c>
      <c r="L574" s="2">
        <f>Raw_Sales_Data3[[#This Row],[Quantity]]*Raw_Sales_Data3[[#This Row],[Unit Price]]*(Raw_Sales_Data3[[#This Row],[Discount %]]/100)</f>
        <v>2501.1</v>
      </c>
      <c r="M574" t="str">
        <f>IF(COUNTIF(Raw_Sales_Data3[Order ID],Raw_Sales_Data3[[#This Row],[Order ID]])&gt;1,"Duplicate Order ID","Unique Order ID")</f>
        <v>Unique Order ID</v>
      </c>
    </row>
    <row r="575" spans="1:13" x14ac:dyDescent="0.3">
      <c r="A575" t="s">
        <v>622</v>
      </c>
      <c r="B575" s="1">
        <v>46051</v>
      </c>
      <c r="C575" t="s">
        <v>64</v>
      </c>
      <c r="D575" t="s">
        <v>70</v>
      </c>
      <c r="E575" t="s">
        <v>28</v>
      </c>
      <c r="F575" t="s">
        <v>24</v>
      </c>
      <c r="G575" t="s">
        <v>53</v>
      </c>
      <c r="H575" s="5">
        <v>7</v>
      </c>
      <c r="I575" s="3">
        <v>8812</v>
      </c>
      <c r="J575" s="10">
        <v>5</v>
      </c>
      <c r="K575" s="2">
        <v>58599.8</v>
      </c>
      <c r="L575" s="2">
        <f>Raw_Sales_Data3[[#This Row],[Quantity]]*Raw_Sales_Data3[[#This Row],[Unit Price]]*(Raw_Sales_Data3[[#This Row],[Discount %]]/100)</f>
        <v>3084.2000000000003</v>
      </c>
      <c r="M575" t="str">
        <f>IF(COUNTIF(Raw_Sales_Data3[Order ID],Raw_Sales_Data3[[#This Row],[Order ID]])&gt;1,"Duplicate Order ID","Unique Order ID")</f>
        <v>Unique Order ID</v>
      </c>
    </row>
    <row r="576" spans="1:13" x14ac:dyDescent="0.3">
      <c r="A576" t="s">
        <v>623</v>
      </c>
      <c r="B576" s="1">
        <v>46089</v>
      </c>
      <c r="C576" t="s">
        <v>86</v>
      </c>
      <c r="D576" t="s">
        <v>70</v>
      </c>
      <c r="E576" t="s">
        <v>13</v>
      </c>
      <c r="F576" t="s">
        <v>24</v>
      </c>
      <c r="G576" t="s">
        <v>53</v>
      </c>
      <c r="H576" s="5">
        <v>7</v>
      </c>
      <c r="I576" s="3">
        <v>30114</v>
      </c>
      <c r="J576" s="10">
        <v>10</v>
      </c>
      <c r="K576" s="2">
        <v>189718.2</v>
      </c>
      <c r="L576" s="2">
        <f>Raw_Sales_Data3[[#This Row],[Quantity]]*Raw_Sales_Data3[[#This Row],[Unit Price]]*(Raw_Sales_Data3[[#This Row],[Discount %]]/100)</f>
        <v>21079.800000000003</v>
      </c>
      <c r="M576" t="str">
        <f>IF(COUNTIF(Raw_Sales_Data3[Order ID],Raw_Sales_Data3[[#This Row],[Order ID]])&gt;1,"Duplicate Order ID","Unique Order ID")</f>
        <v>Unique Order ID</v>
      </c>
    </row>
    <row r="577" spans="1:13" x14ac:dyDescent="0.3">
      <c r="A577" t="s">
        <v>624</v>
      </c>
      <c r="B577" s="1">
        <v>46101</v>
      </c>
      <c r="C577" t="s">
        <v>38</v>
      </c>
      <c r="D577" t="s">
        <v>58</v>
      </c>
      <c r="E577" t="s">
        <v>39</v>
      </c>
      <c r="F577" t="s">
        <v>24</v>
      </c>
      <c r="G577" t="s">
        <v>25</v>
      </c>
      <c r="H577" s="5">
        <v>5</v>
      </c>
      <c r="I577" s="3">
        <v>24556</v>
      </c>
      <c r="J577" s="10">
        <v>15</v>
      </c>
      <c r="K577" s="2">
        <v>104363</v>
      </c>
      <c r="L577" s="2">
        <f>Raw_Sales_Data3[[#This Row],[Quantity]]*Raw_Sales_Data3[[#This Row],[Unit Price]]*(Raw_Sales_Data3[[#This Row],[Discount %]]/100)</f>
        <v>18417</v>
      </c>
      <c r="M577" t="str">
        <f>IF(COUNTIF(Raw_Sales_Data3[Order ID],Raw_Sales_Data3[[#This Row],[Order ID]])&gt;1,"Duplicate Order ID","Unique Order ID")</f>
        <v>Unique Order ID</v>
      </c>
    </row>
    <row r="578" spans="1:13" x14ac:dyDescent="0.3">
      <c r="A578" t="s">
        <v>625</v>
      </c>
      <c r="B578" s="1">
        <v>46032</v>
      </c>
      <c r="C578" t="s">
        <v>42</v>
      </c>
      <c r="D578" t="s">
        <v>58</v>
      </c>
      <c r="E578" t="s">
        <v>34</v>
      </c>
      <c r="F578" t="s">
        <v>24</v>
      </c>
      <c r="G578" t="s">
        <v>29</v>
      </c>
      <c r="H578" s="5">
        <v>4</v>
      </c>
      <c r="I578" s="3">
        <v>39337</v>
      </c>
      <c r="J578" s="10">
        <v>10</v>
      </c>
      <c r="K578" s="2">
        <v>141613.20000000001</v>
      </c>
      <c r="L578" s="2">
        <f>Raw_Sales_Data3[[#This Row],[Quantity]]*Raw_Sales_Data3[[#This Row],[Unit Price]]*(Raw_Sales_Data3[[#This Row],[Discount %]]/100)</f>
        <v>15734.800000000001</v>
      </c>
      <c r="M578" t="str">
        <f>IF(COUNTIF(Raw_Sales_Data3[Order ID],Raw_Sales_Data3[[#This Row],[Order ID]])&gt;1,"Duplicate Order ID","Unique Order ID")</f>
        <v>Unique Order ID</v>
      </c>
    </row>
    <row r="579" spans="1:13" x14ac:dyDescent="0.3">
      <c r="A579" t="s">
        <v>626</v>
      </c>
      <c r="B579" s="1">
        <v>46080</v>
      </c>
      <c r="C579" t="s">
        <v>91</v>
      </c>
      <c r="D579" t="s">
        <v>70</v>
      </c>
      <c r="E579" t="s">
        <v>28</v>
      </c>
      <c r="F579" t="s">
        <v>14</v>
      </c>
      <c r="G579" t="s">
        <v>51</v>
      </c>
      <c r="H579" s="5">
        <v>11</v>
      </c>
      <c r="I579" s="3">
        <v>17098</v>
      </c>
      <c r="J579" s="10">
        <v>5</v>
      </c>
      <c r="K579" s="2">
        <v>178674.1</v>
      </c>
      <c r="L579" s="2">
        <f>Raw_Sales_Data3[[#This Row],[Quantity]]*Raw_Sales_Data3[[#This Row],[Unit Price]]*(Raw_Sales_Data3[[#This Row],[Discount %]]/100)</f>
        <v>9403.9</v>
      </c>
      <c r="M579" t="str">
        <f>IF(COUNTIF(Raw_Sales_Data3[Order ID],Raw_Sales_Data3[[#This Row],[Order ID]])&gt;1,"Duplicate Order ID","Unique Order ID")</f>
        <v>Unique Order ID</v>
      </c>
    </row>
    <row r="580" spans="1:13" x14ac:dyDescent="0.3">
      <c r="A580" t="s">
        <v>627</v>
      </c>
      <c r="B580" s="1">
        <v>46101</v>
      </c>
      <c r="C580" t="s">
        <v>123</v>
      </c>
      <c r="D580" t="s">
        <v>58</v>
      </c>
      <c r="E580" t="s">
        <v>34</v>
      </c>
      <c r="F580" t="s">
        <v>14</v>
      </c>
      <c r="G580" t="s">
        <v>98</v>
      </c>
      <c r="H580" s="5">
        <v>11</v>
      </c>
      <c r="I580" s="3">
        <v>47327</v>
      </c>
      <c r="J580" s="10">
        <v>0</v>
      </c>
      <c r="K580" s="2">
        <v>416477.6</v>
      </c>
      <c r="L580" s="2">
        <f>Raw_Sales_Data3[[#This Row],[Quantity]]*Raw_Sales_Data3[[#This Row],[Unit Price]]*(Raw_Sales_Data3[[#This Row],[Discount %]]/100)</f>
        <v>0</v>
      </c>
      <c r="M580" t="str">
        <f>IF(COUNTIF(Raw_Sales_Data3[Order ID],Raw_Sales_Data3[[#This Row],[Order ID]])&gt;1,"Duplicate Order ID","Unique Order ID")</f>
        <v>Unique Order ID</v>
      </c>
    </row>
    <row r="581" spans="1:13" x14ac:dyDescent="0.3">
      <c r="A581" t="s">
        <v>628</v>
      </c>
      <c r="B581" s="1">
        <v>46031</v>
      </c>
      <c r="C581" t="s">
        <v>17</v>
      </c>
      <c r="D581" t="s">
        <v>23</v>
      </c>
      <c r="E581" t="s">
        <v>34</v>
      </c>
      <c r="F581" t="s">
        <v>24</v>
      </c>
      <c r="G581" t="s">
        <v>77</v>
      </c>
      <c r="H581" s="5">
        <v>10</v>
      </c>
      <c r="I581" s="3">
        <v>37766</v>
      </c>
      <c r="J581" s="10">
        <v>5</v>
      </c>
      <c r="K581" s="2">
        <v>358777</v>
      </c>
      <c r="L581" s="2">
        <f>Raw_Sales_Data3[[#This Row],[Quantity]]*Raw_Sales_Data3[[#This Row],[Unit Price]]*(Raw_Sales_Data3[[#This Row],[Discount %]]/100)</f>
        <v>18883</v>
      </c>
      <c r="M581" t="str">
        <f>IF(COUNTIF(Raw_Sales_Data3[Order ID],Raw_Sales_Data3[[#This Row],[Order ID]])&gt;1,"Duplicate Order ID","Unique Order ID")</f>
        <v>Unique Order ID</v>
      </c>
    </row>
    <row r="582" spans="1:13" x14ac:dyDescent="0.3">
      <c r="A582" t="s">
        <v>629</v>
      </c>
      <c r="B582" s="1">
        <v>46108</v>
      </c>
      <c r="C582" t="s">
        <v>62</v>
      </c>
      <c r="D582" t="s">
        <v>23</v>
      </c>
      <c r="E582" t="s">
        <v>18</v>
      </c>
      <c r="F582" t="s">
        <v>24</v>
      </c>
      <c r="G582" t="s">
        <v>29</v>
      </c>
      <c r="H582" s="5">
        <v>10</v>
      </c>
      <c r="I582" s="3">
        <v>6999</v>
      </c>
      <c r="J582" s="10">
        <v>15</v>
      </c>
      <c r="K582" s="2">
        <v>59491.5</v>
      </c>
      <c r="L582" s="2">
        <f>Raw_Sales_Data3[[#This Row],[Quantity]]*Raw_Sales_Data3[[#This Row],[Unit Price]]*(Raw_Sales_Data3[[#This Row],[Discount %]]/100)</f>
        <v>10498.5</v>
      </c>
      <c r="M582" t="str">
        <f>IF(COUNTIF(Raw_Sales_Data3[Order ID],Raw_Sales_Data3[[#This Row],[Order ID]])&gt;1,"Duplicate Order ID","Unique Order ID")</f>
        <v>Unique Order ID</v>
      </c>
    </row>
    <row r="583" spans="1:13" x14ac:dyDescent="0.3">
      <c r="A583" t="s">
        <v>630</v>
      </c>
      <c r="B583" s="1">
        <v>46039</v>
      </c>
      <c r="C583" t="s">
        <v>33</v>
      </c>
      <c r="D583" t="s">
        <v>43</v>
      </c>
      <c r="E583" t="s">
        <v>13</v>
      </c>
      <c r="F583" t="s">
        <v>24</v>
      </c>
      <c r="G583" t="s">
        <v>55</v>
      </c>
      <c r="H583" s="5">
        <v>12</v>
      </c>
      <c r="I583" s="3">
        <v>32346</v>
      </c>
      <c r="J583" s="10">
        <v>0</v>
      </c>
      <c r="K583" s="2">
        <v>388152</v>
      </c>
      <c r="L583" s="2">
        <f>Raw_Sales_Data3[[#This Row],[Quantity]]*Raw_Sales_Data3[[#This Row],[Unit Price]]*(Raw_Sales_Data3[[#This Row],[Discount %]]/100)</f>
        <v>0</v>
      </c>
      <c r="M583" t="str">
        <f>IF(COUNTIF(Raw_Sales_Data3[Order ID],Raw_Sales_Data3[[#This Row],[Order ID]])&gt;1,"Duplicate Order ID","Unique Order ID")</f>
        <v>Unique Order ID</v>
      </c>
    </row>
    <row r="584" spans="1:13" x14ac:dyDescent="0.3">
      <c r="A584" t="s">
        <v>631</v>
      </c>
      <c r="B584" s="1">
        <v>46047</v>
      </c>
      <c r="C584" t="s">
        <v>27</v>
      </c>
      <c r="D584" t="s">
        <v>23</v>
      </c>
      <c r="E584" t="s">
        <v>18</v>
      </c>
      <c r="F584" t="s">
        <v>14</v>
      </c>
      <c r="G584" t="s">
        <v>15</v>
      </c>
      <c r="H584" s="5">
        <v>5</v>
      </c>
      <c r="I584" s="3">
        <v>14503</v>
      </c>
      <c r="J584" s="10">
        <v>20</v>
      </c>
      <c r="K584" s="2">
        <v>58012</v>
      </c>
      <c r="L584" s="2">
        <f>Raw_Sales_Data3[[#This Row],[Quantity]]*Raw_Sales_Data3[[#This Row],[Unit Price]]*(Raw_Sales_Data3[[#This Row],[Discount %]]/100)</f>
        <v>14503</v>
      </c>
      <c r="M584" t="str">
        <f>IF(COUNTIF(Raw_Sales_Data3[Order ID],Raw_Sales_Data3[[#This Row],[Order ID]])&gt;1,"Duplicate Order ID","Unique Order ID")</f>
        <v>Unique Order ID</v>
      </c>
    </row>
    <row r="585" spans="1:13" x14ac:dyDescent="0.3">
      <c r="A585" t="s">
        <v>632</v>
      </c>
      <c r="B585" s="1">
        <v>46052</v>
      </c>
      <c r="C585" t="s">
        <v>57</v>
      </c>
      <c r="D585" t="s">
        <v>58</v>
      </c>
      <c r="E585" t="s">
        <v>28</v>
      </c>
      <c r="F585" t="s">
        <v>19</v>
      </c>
      <c r="G585" t="s">
        <v>120</v>
      </c>
      <c r="H585" s="5">
        <v>15</v>
      </c>
      <c r="I585" s="3">
        <v>9414</v>
      </c>
      <c r="J585" s="10">
        <v>5</v>
      </c>
      <c r="K585" s="2">
        <v>134149.5</v>
      </c>
      <c r="L585" s="2">
        <f>Raw_Sales_Data3[[#This Row],[Quantity]]*Raw_Sales_Data3[[#This Row],[Unit Price]]*(Raw_Sales_Data3[[#This Row],[Discount %]]/100)</f>
        <v>7060.5</v>
      </c>
      <c r="M585" t="str">
        <f>IF(COUNTIF(Raw_Sales_Data3[Order ID],Raw_Sales_Data3[[#This Row],[Order ID]])&gt;1,"Duplicate Order ID","Unique Order ID")</f>
        <v>Unique Order ID</v>
      </c>
    </row>
    <row r="586" spans="1:13" x14ac:dyDescent="0.3">
      <c r="A586" t="s">
        <v>633</v>
      </c>
      <c r="B586" s="1">
        <v>46058</v>
      </c>
      <c r="C586" t="s">
        <v>17</v>
      </c>
      <c r="D586" t="s">
        <v>43</v>
      </c>
      <c r="E586" t="s">
        <v>34</v>
      </c>
      <c r="F586" t="s">
        <v>14</v>
      </c>
      <c r="G586" t="s">
        <v>156</v>
      </c>
      <c r="H586" s="5">
        <v>15</v>
      </c>
      <c r="I586" s="3">
        <v>37572</v>
      </c>
      <c r="J586" s="10">
        <v>5</v>
      </c>
      <c r="K586" s="2">
        <v>535401</v>
      </c>
      <c r="L586" s="2">
        <f>Raw_Sales_Data3[[#This Row],[Quantity]]*Raw_Sales_Data3[[#This Row],[Unit Price]]*(Raw_Sales_Data3[[#This Row],[Discount %]]/100)</f>
        <v>28179</v>
      </c>
      <c r="M586" t="str">
        <f>IF(COUNTIF(Raw_Sales_Data3[Order ID],Raw_Sales_Data3[[#This Row],[Order ID]])&gt;1,"Duplicate Order ID","Unique Order ID")</f>
        <v>Unique Order ID</v>
      </c>
    </row>
    <row r="587" spans="1:13" x14ac:dyDescent="0.3">
      <c r="A587" t="s">
        <v>634</v>
      </c>
      <c r="B587" s="1">
        <v>46049</v>
      </c>
      <c r="C587" t="s">
        <v>33</v>
      </c>
      <c r="D587" t="s">
        <v>58</v>
      </c>
      <c r="E587" t="s">
        <v>18</v>
      </c>
      <c r="F587" t="s">
        <v>14</v>
      </c>
      <c r="G587" t="s">
        <v>51</v>
      </c>
      <c r="H587" s="5">
        <v>5</v>
      </c>
      <c r="I587" s="3">
        <v>29279</v>
      </c>
      <c r="J587" s="10">
        <v>0</v>
      </c>
      <c r="K587" s="2">
        <v>146395</v>
      </c>
      <c r="L587" s="2">
        <f>Raw_Sales_Data3[[#This Row],[Quantity]]*Raw_Sales_Data3[[#This Row],[Unit Price]]*(Raw_Sales_Data3[[#This Row],[Discount %]]/100)</f>
        <v>0</v>
      </c>
      <c r="M587" t="str">
        <f>IF(COUNTIF(Raw_Sales_Data3[Order ID],Raw_Sales_Data3[[#This Row],[Order ID]])&gt;1,"Duplicate Order ID","Unique Order ID")</f>
        <v>Unique Order ID</v>
      </c>
    </row>
    <row r="588" spans="1:13" x14ac:dyDescent="0.3">
      <c r="A588" t="s">
        <v>635</v>
      </c>
      <c r="B588" s="1">
        <v>46108</v>
      </c>
      <c r="C588" t="s">
        <v>36</v>
      </c>
      <c r="D588" t="s">
        <v>58</v>
      </c>
      <c r="E588" t="s">
        <v>28</v>
      </c>
      <c r="F588" t="s">
        <v>14</v>
      </c>
      <c r="G588" t="s">
        <v>98</v>
      </c>
      <c r="H588" s="5">
        <v>15</v>
      </c>
      <c r="I588" s="3">
        <v>1592</v>
      </c>
      <c r="J588" s="10">
        <v>15</v>
      </c>
      <c r="K588" s="2">
        <v>20298</v>
      </c>
      <c r="L588" s="2">
        <f>Raw_Sales_Data3[[#This Row],[Quantity]]*Raw_Sales_Data3[[#This Row],[Unit Price]]*(Raw_Sales_Data3[[#This Row],[Discount %]]/100)</f>
        <v>3582</v>
      </c>
      <c r="M588" t="str">
        <f>IF(COUNTIF(Raw_Sales_Data3[Order ID],Raw_Sales_Data3[[#This Row],[Order ID]])&gt;1,"Duplicate Order ID","Unique Order ID")</f>
        <v>Unique Order ID</v>
      </c>
    </row>
    <row r="589" spans="1:13" x14ac:dyDescent="0.3">
      <c r="A589" t="s">
        <v>636</v>
      </c>
      <c r="B589" s="1">
        <v>46110</v>
      </c>
      <c r="C589" t="s">
        <v>54</v>
      </c>
      <c r="D589" t="s">
        <v>23</v>
      </c>
      <c r="E589" t="s">
        <v>34</v>
      </c>
      <c r="F589" t="s">
        <v>24</v>
      </c>
      <c r="G589" t="s">
        <v>25</v>
      </c>
      <c r="H589" s="5">
        <v>8</v>
      </c>
      <c r="I589" s="3">
        <v>45588</v>
      </c>
      <c r="J589" s="10">
        <v>15</v>
      </c>
      <c r="K589" s="2">
        <v>309998.40000000002</v>
      </c>
      <c r="L589" s="2">
        <f>Raw_Sales_Data3[[#This Row],[Quantity]]*Raw_Sales_Data3[[#This Row],[Unit Price]]*(Raw_Sales_Data3[[#This Row],[Discount %]]/100)</f>
        <v>54705.599999999999</v>
      </c>
      <c r="M589" t="str">
        <f>IF(COUNTIF(Raw_Sales_Data3[Order ID],Raw_Sales_Data3[[#This Row],[Order ID]])&gt;1,"Duplicate Order ID","Unique Order ID")</f>
        <v>Unique Order ID</v>
      </c>
    </row>
    <row r="590" spans="1:13" x14ac:dyDescent="0.3">
      <c r="A590" t="s">
        <v>637</v>
      </c>
      <c r="B590" s="1">
        <v>46045</v>
      </c>
      <c r="C590" t="s">
        <v>42</v>
      </c>
      <c r="D590" t="s">
        <v>43</v>
      </c>
      <c r="E590" t="s">
        <v>34</v>
      </c>
      <c r="F590" t="s">
        <v>19</v>
      </c>
      <c r="G590" t="s">
        <v>117</v>
      </c>
      <c r="H590" s="5">
        <v>9</v>
      </c>
      <c r="I590" s="3">
        <v>40207</v>
      </c>
      <c r="J590" s="10">
        <v>0</v>
      </c>
      <c r="K590" s="2">
        <v>361863</v>
      </c>
      <c r="L590" s="2">
        <f>Raw_Sales_Data3[[#This Row],[Quantity]]*Raw_Sales_Data3[[#This Row],[Unit Price]]*(Raw_Sales_Data3[[#This Row],[Discount %]]/100)</f>
        <v>0</v>
      </c>
      <c r="M590" t="str">
        <f>IF(COUNTIF(Raw_Sales_Data3[Order ID],Raw_Sales_Data3[[#This Row],[Order ID]])&gt;1,"Duplicate Order ID","Unique Order ID")</f>
        <v>Unique Order ID</v>
      </c>
    </row>
    <row r="591" spans="1:13" x14ac:dyDescent="0.3">
      <c r="A591" t="s">
        <v>638</v>
      </c>
      <c r="B591" s="1">
        <v>46058</v>
      </c>
      <c r="C591" t="s">
        <v>62</v>
      </c>
      <c r="D591" t="s">
        <v>70</v>
      </c>
      <c r="E591" t="s">
        <v>28</v>
      </c>
      <c r="F591" t="s">
        <v>14</v>
      </c>
      <c r="G591" t="s">
        <v>98</v>
      </c>
      <c r="H591" s="5">
        <v>9</v>
      </c>
      <c r="I591" s="3">
        <v>38722</v>
      </c>
      <c r="J591" s="10">
        <v>5</v>
      </c>
      <c r="K591" s="2">
        <v>331073.09999999998</v>
      </c>
      <c r="L591" s="2">
        <f>Raw_Sales_Data3[[#This Row],[Quantity]]*Raw_Sales_Data3[[#This Row],[Unit Price]]*(Raw_Sales_Data3[[#This Row],[Discount %]]/100)</f>
        <v>17424.900000000001</v>
      </c>
      <c r="M591" t="str">
        <f>IF(COUNTIF(Raw_Sales_Data3[Order ID],Raw_Sales_Data3[[#This Row],[Order ID]])&gt;1,"Duplicate Order ID","Unique Order ID")</f>
        <v>Unique Order ID</v>
      </c>
    </row>
    <row r="592" spans="1:13" x14ac:dyDescent="0.3">
      <c r="A592" t="s">
        <v>639</v>
      </c>
      <c r="B592" s="1">
        <v>46089</v>
      </c>
      <c r="C592" t="s">
        <v>50</v>
      </c>
      <c r="D592" t="s">
        <v>70</v>
      </c>
      <c r="E592" t="s">
        <v>34</v>
      </c>
      <c r="F592" t="s">
        <v>14</v>
      </c>
      <c r="G592" t="s">
        <v>125</v>
      </c>
      <c r="H592" s="5">
        <v>13</v>
      </c>
      <c r="I592" s="3">
        <v>57924</v>
      </c>
      <c r="J592" s="10">
        <v>20</v>
      </c>
      <c r="K592" s="2">
        <v>602409.6</v>
      </c>
      <c r="L592" s="2">
        <f>Raw_Sales_Data3[[#This Row],[Quantity]]*Raw_Sales_Data3[[#This Row],[Unit Price]]*(Raw_Sales_Data3[[#This Row],[Discount %]]/100)</f>
        <v>150602.4</v>
      </c>
      <c r="M592" t="str">
        <f>IF(COUNTIF(Raw_Sales_Data3[Order ID],Raw_Sales_Data3[[#This Row],[Order ID]])&gt;1,"Duplicate Order ID","Unique Order ID")</f>
        <v>Unique Order ID</v>
      </c>
    </row>
    <row r="593" spans="1:13" x14ac:dyDescent="0.3">
      <c r="A593" t="s">
        <v>640</v>
      </c>
      <c r="B593" s="1">
        <v>46104</v>
      </c>
      <c r="C593" t="s">
        <v>54</v>
      </c>
      <c r="D593" t="s">
        <v>43</v>
      </c>
      <c r="E593" t="s">
        <v>39</v>
      </c>
      <c r="F593" t="s">
        <v>24</v>
      </c>
      <c r="G593" t="s">
        <v>71</v>
      </c>
      <c r="H593" s="5">
        <v>7</v>
      </c>
      <c r="I593" s="3">
        <v>34735</v>
      </c>
      <c r="J593" s="10">
        <v>10</v>
      </c>
      <c r="K593" s="2">
        <v>218830.5</v>
      </c>
      <c r="L593" s="2">
        <f>Raw_Sales_Data3[[#This Row],[Quantity]]*Raw_Sales_Data3[[#This Row],[Unit Price]]*(Raw_Sales_Data3[[#This Row],[Discount %]]/100)</f>
        <v>24314.5</v>
      </c>
      <c r="M593" t="str">
        <f>IF(COUNTIF(Raw_Sales_Data3[Order ID],Raw_Sales_Data3[[#This Row],[Order ID]])&gt;1,"Duplicate Order ID","Unique Order ID")</f>
        <v>Unique Order ID</v>
      </c>
    </row>
    <row r="594" spans="1:13" x14ac:dyDescent="0.3">
      <c r="A594" t="s">
        <v>641</v>
      </c>
      <c r="B594" s="1">
        <v>46096</v>
      </c>
      <c r="C594" t="s">
        <v>22</v>
      </c>
      <c r="D594" t="s">
        <v>43</v>
      </c>
      <c r="E594" t="s">
        <v>13</v>
      </c>
      <c r="F594" t="s">
        <v>14</v>
      </c>
      <c r="G594" t="s">
        <v>73</v>
      </c>
      <c r="H594" s="5">
        <v>15</v>
      </c>
      <c r="I594" s="3">
        <v>5638</v>
      </c>
      <c r="J594" s="10">
        <v>15</v>
      </c>
      <c r="K594" s="2">
        <v>71884.5</v>
      </c>
      <c r="L594" s="2">
        <f>Raw_Sales_Data3[[#This Row],[Quantity]]*Raw_Sales_Data3[[#This Row],[Unit Price]]*(Raw_Sales_Data3[[#This Row],[Discount %]]/100)</f>
        <v>12685.5</v>
      </c>
      <c r="M594" t="str">
        <f>IF(COUNTIF(Raw_Sales_Data3[Order ID],Raw_Sales_Data3[[#This Row],[Order ID]])&gt;1,"Duplicate Order ID","Unique Order ID")</f>
        <v>Unique Order ID</v>
      </c>
    </row>
    <row r="595" spans="1:13" x14ac:dyDescent="0.3">
      <c r="A595" t="s">
        <v>642</v>
      </c>
      <c r="B595" s="1">
        <v>46030</v>
      </c>
      <c r="C595" t="s">
        <v>45</v>
      </c>
      <c r="D595" t="s">
        <v>70</v>
      </c>
      <c r="E595" t="s">
        <v>34</v>
      </c>
      <c r="F595" t="s">
        <v>14</v>
      </c>
      <c r="G595" t="s">
        <v>51</v>
      </c>
      <c r="H595" s="5">
        <v>10</v>
      </c>
      <c r="I595" s="3">
        <v>8020</v>
      </c>
      <c r="J595" s="10">
        <v>20</v>
      </c>
      <c r="K595" s="2">
        <v>64160</v>
      </c>
      <c r="L595" s="2">
        <f>Raw_Sales_Data3[[#This Row],[Quantity]]*Raw_Sales_Data3[[#This Row],[Unit Price]]*(Raw_Sales_Data3[[#This Row],[Discount %]]/100)</f>
        <v>16040</v>
      </c>
      <c r="M595" t="str">
        <f>IF(COUNTIF(Raw_Sales_Data3[Order ID],Raw_Sales_Data3[[#This Row],[Order ID]])&gt;1,"Duplicate Order ID","Unique Order ID")</f>
        <v>Unique Order ID</v>
      </c>
    </row>
    <row r="596" spans="1:13" x14ac:dyDescent="0.3">
      <c r="A596" t="s">
        <v>643</v>
      </c>
      <c r="B596" s="1">
        <v>46053</v>
      </c>
      <c r="C596" t="s">
        <v>45</v>
      </c>
      <c r="D596" t="s">
        <v>70</v>
      </c>
      <c r="E596" t="s">
        <v>34</v>
      </c>
      <c r="F596" t="s">
        <v>24</v>
      </c>
      <c r="G596" t="s">
        <v>29</v>
      </c>
      <c r="H596" s="5">
        <f>K596/(I596*(1-J596/100))</f>
        <v>10</v>
      </c>
      <c r="I596" s="3">
        <v>26982</v>
      </c>
      <c r="J596" s="10">
        <v>5</v>
      </c>
      <c r="K596" s="2">
        <v>256329</v>
      </c>
      <c r="L596" s="2">
        <f>Raw_Sales_Data3[[#This Row],[Quantity]]*Raw_Sales_Data3[[#This Row],[Unit Price]]*(Raw_Sales_Data3[[#This Row],[Discount %]]/100)</f>
        <v>13491</v>
      </c>
      <c r="M596" t="str">
        <f>IF(COUNTIF(Raw_Sales_Data3[Order ID],Raw_Sales_Data3[[#This Row],[Order ID]])&gt;1,"Duplicate Order ID","Unique Order ID")</f>
        <v>Unique Order ID</v>
      </c>
    </row>
    <row r="597" spans="1:13" x14ac:dyDescent="0.3">
      <c r="A597" t="s">
        <v>644</v>
      </c>
      <c r="B597" s="1">
        <v>46101</v>
      </c>
      <c r="C597" t="s">
        <v>38</v>
      </c>
      <c r="D597" t="s">
        <v>70</v>
      </c>
      <c r="E597" t="s">
        <v>34</v>
      </c>
      <c r="F597" t="s">
        <v>14</v>
      </c>
      <c r="G597" t="s">
        <v>125</v>
      </c>
      <c r="H597" s="5">
        <v>10</v>
      </c>
      <c r="I597" s="3">
        <v>48796</v>
      </c>
      <c r="J597" s="10">
        <v>15</v>
      </c>
      <c r="K597" s="2">
        <v>414766</v>
      </c>
      <c r="L597" s="2">
        <f>Raw_Sales_Data3[[#This Row],[Quantity]]*Raw_Sales_Data3[[#This Row],[Unit Price]]*(Raw_Sales_Data3[[#This Row],[Discount %]]/100)</f>
        <v>73194</v>
      </c>
      <c r="M597" t="str">
        <f>IF(COUNTIF(Raw_Sales_Data3[Order ID],Raw_Sales_Data3[[#This Row],[Order ID]])&gt;1,"Duplicate Order ID","Unique Order ID")</f>
        <v>Unique Order ID</v>
      </c>
    </row>
    <row r="598" spans="1:13" x14ac:dyDescent="0.3">
      <c r="A598" t="s">
        <v>645</v>
      </c>
      <c r="B598" s="1">
        <v>46036</v>
      </c>
      <c r="C598" t="s">
        <v>45</v>
      </c>
      <c r="D598" t="s">
        <v>70</v>
      </c>
      <c r="E598" t="s">
        <v>28</v>
      </c>
      <c r="F598" t="s">
        <v>14</v>
      </c>
      <c r="G598" t="s">
        <v>103</v>
      </c>
      <c r="H598" s="5">
        <v>9</v>
      </c>
      <c r="I598" s="3">
        <v>7422</v>
      </c>
      <c r="J598" s="10">
        <v>15</v>
      </c>
      <c r="K598" s="2">
        <v>56778.3</v>
      </c>
      <c r="L598" s="2">
        <f>Raw_Sales_Data3[[#This Row],[Quantity]]*Raw_Sales_Data3[[#This Row],[Unit Price]]*(Raw_Sales_Data3[[#This Row],[Discount %]]/100)</f>
        <v>10019.699999999999</v>
      </c>
      <c r="M598" t="str">
        <f>IF(COUNTIF(Raw_Sales_Data3[Order ID],Raw_Sales_Data3[[#This Row],[Order ID]])&gt;1,"Duplicate Order ID","Unique Order ID")</f>
        <v>Unique Order ID</v>
      </c>
    </row>
    <row r="599" spans="1:13" x14ac:dyDescent="0.3">
      <c r="A599" t="s">
        <v>646</v>
      </c>
      <c r="B599" s="1">
        <v>46067</v>
      </c>
      <c r="C599" t="s">
        <v>57</v>
      </c>
      <c r="D599" t="s">
        <v>58</v>
      </c>
      <c r="E599" t="s">
        <v>28</v>
      </c>
      <c r="F599" t="s">
        <v>24</v>
      </c>
      <c r="G599" t="s">
        <v>55</v>
      </c>
      <c r="H599" s="5">
        <v>9</v>
      </c>
      <c r="I599" s="3">
        <v>30439</v>
      </c>
      <c r="J599" s="10">
        <v>20</v>
      </c>
      <c r="K599" s="2">
        <v>219160.8</v>
      </c>
      <c r="L599" s="2">
        <f>Raw_Sales_Data3[[#This Row],[Quantity]]*Raw_Sales_Data3[[#This Row],[Unit Price]]*(Raw_Sales_Data3[[#This Row],[Discount %]]/100)</f>
        <v>54790.200000000004</v>
      </c>
      <c r="M599" t="str">
        <f>IF(COUNTIF(Raw_Sales_Data3[Order ID],Raw_Sales_Data3[[#This Row],[Order ID]])&gt;1,"Duplicate Order ID","Unique Order ID")</f>
        <v>Unique Order ID</v>
      </c>
    </row>
    <row r="600" spans="1:13" x14ac:dyDescent="0.3">
      <c r="A600" t="s">
        <v>647</v>
      </c>
      <c r="B600" s="1">
        <v>46086</v>
      </c>
      <c r="C600" t="s">
        <v>54</v>
      </c>
      <c r="D600" t="s">
        <v>58</v>
      </c>
      <c r="E600" t="s">
        <v>39</v>
      </c>
      <c r="F600" t="s">
        <v>14</v>
      </c>
      <c r="G600" t="s">
        <v>66</v>
      </c>
      <c r="H600" s="5">
        <v>11</v>
      </c>
      <c r="I600" s="3">
        <v>14317</v>
      </c>
      <c r="J600" s="10">
        <v>0</v>
      </c>
      <c r="K600" s="2">
        <v>157487</v>
      </c>
      <c r="L600" s="2">
        <f>Raw_Sales_Data3[[#This Row],[Quantity]]*Raw_Sales_Data3[[#This Row],[Unit Price]]*(Raw_Sales_Data3[[#This Row],[Discount %]]/100)</f>
        <v>0</v>
      </c>
      <c r="M600" t="str">
        <f>IF(COUNTIF(Raw_Sales_Data3[Order ID],Raw_Sales_Data3[[#This Row],[Order ID]])&gt;1,"Duplicate Order ID","Unique Order ID")</f>
        <v>Unique Order ID</v>
      </c>
    </row>
    <row r="601" spans="1:13" x14ac:dyDescent="0.3">
      <c r="A601" t="s">
        <v>648</v>
      </c>
      <c r="B601" s="1">
        <v>46045</v>
      </c>
      <c r="C601" t="s">
        <v>17</v>
      </c>
      <c r="D601" t="s">
        <v>58</v>
      </c>
      <c r="E601" t="s">
        <v>39</v>
      </c>
      <c r="F601" t="s">
        <v>24</v>
      </c>
      <c r="G601" t="s">
        <v>55</v>
      </c>
      <c r="H601" s="5">
        <v>15</v>
      </c>
      <c r="I601" s="3">
        <v>13544</v>
      </c>
      <c r="J601" s="10">
        <v>0</v>
      </c>
      <c r="K601" s="2">
        <v>203160</v>
      </c>
      <c r="L601" s="2">
        <f>Raw_Sales_Data3[[#This Row],[Quantity]]*Raw_Sales_Data3[[#This Row],[Unit Price]]*(Raw_Sales_Data3[[#This Row],[Discount %]]/100)</f>
        <v>0</v>
      </c>
      <c r="M601" t="str">
        <f>IF(COUNTIF(Raw_Sales_Data3[Order ID],Raw_Sales_Data3[[#This Row],[Order ID]])&gt;1,"Duplicate Order ID","Unique Order ID")</f>
        <v>Unique Order ID</v>
      </c>
    </row>
    <row r="602" spans="1:13" x14ac:dyDescent="0.3">
      <c r="A602" t="s">
        <v>649</v>
      </c>
      <c r="B602" s="1">
        <v>46105</v>
      </c>
      <c r="C602" t="s">
        <v>27</v>
      </c>
      <c r="D602" t="s">
        <v>58</v>
      </c>
      <c r="E602" t="s">
        <v>39</v>
      </c>
      <c r="F602" t="s">
        <v>24</v>
      </c>
      <c r="G602" t="s">
        <v>71</v>
      </c>
      <c r="H602" s="5">
        <v>4</v>
      </c>
      <c r="I602" s="3">
        <v>56428</v>
      </c>
      <c r="J602" s="10">
        <v>15</v>
      </c>
      <c r="K602" s="2">
        <v>191855.2</v>
      </c>
      <c r="L602" s="2">
        <f>Raw_Sales_Data3[[#This Row],[Quantity]]*Raw_Sales_Data3[[#This Row],[Unit Price]]*(Raw_Sales_Data3[[#This Row],[Discount %]]/100)</f>
        <v>33856.799999999996</v>
      </c>
      <c r="M602" t="str">
        <f>IF(COUNTIF(Raw_Sales_Data3[Order ID],Raw_Sales_Data3[[#This Row],[Order ID]])&gt;1,"Duplicate Order ID","Unique Order ID")</f>
        <v>Unique Order ID</v>
      </c>
    </row>
    <row r="603" spans="1:13" x14ac:dyDescent="0.3">
      <c r="A603" t="s">
        <v>650</v>
      </c>
      <c r="B603" s="1">
        <v>46111</v>
      </c>
      <c r="C603" t="s">
        <v>36</v>
      </c>
      <c r="D603" t="s">
        <v>23</v>
      </c>
      <c r="E603" t="s">
        <v>28</v>
      </c>
      <c r="F603" t="s">
        <v>19</v>
      </c>
      <c r="G603" t="s">
        <v>40</v>
      </c>
      <c r="H603" s="5">
        <v>12</v>
      </c>
      <c r="I603" s="3">
        <v>40233</v>
      </c>
      <c r="J603" s="10">
        <v>20</v>
      </c>
      <c r="K603" s="2">
        <v>386236.8</v>
      </c>
      <c r="L603" s="2">
        <f>Raw_Sales_Data3[[#This Row],[Quantity]]*Raw_Sales_Data3[[#This Row],[Unit Price]]*(Raw_Sales_Data3[[#This Row],[Discount %]]/100)</f>
        <v>96559.200000000012</v>
      </c>
      <c r="M603" t="str">
        <f>IF(COUNTIF(Raw_Sales_Data3[Order ID],Raw_Sales_Data3[[#This Row],[Order ID]])&gt;1,"Duplicate Order ID","Unique Order ID")</f>
        <v>Unique Order ID</v>
      </c>
    </row>
    <row r="604" spans="1:13" x14ac:dyDescent="0.3">
      <c r="A604" t="s">
        <v>651</v>
      </c>
      <c r="B604" s="1">
        <v>46038</v>
      </c>
      <c r="C604" t="s">
        <v>123</v>
      </c>
      <c r="D604" t="s">
        <v>70</v>
      </c>
      <c r="E604" t="s">
        <v>13</v>
      </c>
      <c r="F604" t="s">
        <v>14</v>
      </c>
      <c r="G604" t="s">
        <v>51</v>
      </c>
      <c r="H604" s="5">
        <v>5</v>
      </c>
      <c r="I604" s="3">
        <v>6870</v>
      </c>
      <c r="J604" s="10">
        <v>15</v>
      </c>
      <c r="K604" s="2">
        <v>29197.5</v>
      </c>
      <c r="L604" s="2">
        <f>Raw_Sales_Data3[[#This Row],[Quantity]]*Raw_Sales_Data3[[#This Row],[Unit Price]]*(Raw_Sales_Data3[[#This Row],[Discount %]]/100)</f>
        <v>5152.5</v>
      </c>
      <c r="M604" t="str">
        <f>IF(COUNTIF(Raw_Sales_Data3[Order ID],Raw_Sales_Data3[[#This Row],[Order ID]])&gt;1,"Duplicate Order ID","Unique Order ID")</f>
        <v>Unique Order ID</v>
      </c>
    </row>
    <row r="605" spans="1:13" x14ac:dyDescent="0.3">
      <c r="A605" t="s">
        <v>652</v>
      </c>
      <c r="B605" s="1">
        <v>46048</v>
      </c>
      <c r="C605" t="s">
        <v>48</v>
      </c>
      <c r="D605" t="s">
        <v>43</v>
      </c>
      <c r="E605" t="s">
        <v>28</v>
      </c>
      <c r="F605" t="s">
        <v>14</v>
      </c>
      <c r="G605" t="s">
        <v>98</v>
      </c>
      <c r="H605" s="5">
        <v>3</v>
      </c>
      <c r="I605" s="3">
        <v>57569</v>
      </c>
      <c r="J605" s="10">
        <v>20</v>
      </c>
      <c r="K605" s="2">
        <v>138165.6</v>
      </c>
      <c r="L605" s="2">
        <f>Raw_Sales_Data3[[#This Row],[Quantity]]*Raw_Sales_Data3[[#This Row],[Unit Price]]*(Raw_Sales_Data3[[#This Row],[Discount %]]/100)</f>
        <v>34541.4</v>
      </c>
      <c r="M605" t="str">
        <f>IF(COUNTIF(Raw_Sales_Data3[Order ID],Raw_Sales_Data3[[#This Row],[Order ID]])&gt;1,"Duplicate Order ID","Unique Order ID")</f>
        <v>Unique Order ID</v>
      </c>
    </row>
    <row r="606" spans="1:13" x14ac:dyDescent="0.3">
      <c r="A606" t="s">
        <v>653</v>
      </c>
      <c r="B606" s="1">
        <v>46037</v>
      </c>
      <c r="C606" t="s">
        <v>86</v>
      </c>
      <c r="D606" t="s">
        <v>58</v>
      </c>
      <c r="E606" t="s">
        <v>28</v>
      </c>
      <c r="F606" t="s">
        <v>14</v>
      </c>
      <c r="G606" t="s">
        <v>73</v>
      </c>
      <c r="H606" s="5">
        <v>8</v>
      </c>
      <c r="I606" s="3">
        <v>46660</v>
      </c>
      <c r="J606" s="10">
        <v>5</v>
      </c>
      <c r="K606" s="2">
        <v>354616</v>
      </c>
      <c r="L606" s="2">
        <f>Raw_Sales_Data3[[#This Row],[Quantity]]*Raw_Sales_Data3[[#This Row],[Unit Price]]*(Raw_Sales_Data3[[#This Row],[Discount %]]/100)</f>
        <v>18664</v>
      </c>
      <c r="M606" t="str">
        <f>IF(COUNTIF(Raw_Sales_Data3[Order ID],Raw_Sales_Data3[[#This Row],[Order ID]])&gt;1,"Duplicate Order ID","Unique Order ID")</f>
        <v>Unique Order ID</v>
      </c>
    </row>
    <row r="607" spans="1:13" x14ac:dyDescent="0.3">
      <c r="A607" t="s">
        <v>654</v>
      </c>
      <c r="B607" s="1">
        <v>46094</v>
      </c>
      <c r="C607" t="s">
        <v>27</v>
      </c>
      <c r="D607" t="s">
        <v>70</v>
      </c>
      <c r="E607" t="s">
        <v>34</v>
      </c>
      <c r="F607" t="s">
        <v>24</v>
      </c>
      <c r="G607" t="s">
        <v>71</v>
      </c>
      <c r="H607" s="5">
        <v>4</v>
      </c>
      <c r="I607" s="3">
        <v>23864</v>
      </c>
      <c r="J607" s="10">
        <v>0</v>
      </c>
      <c r="K607" s="2">
        <v>95456</v>
      </c>
      <c r="L607" s="2">
        <f>Raw_Sales_Data3[[#This Row],[Quantity]]*Raw_Sales_Data3[[#This Row],[Unit Price]]*(Raw_Sales_Data3[[#This Row],[Discount %]]/100)</f>
        <v>0</v>
      </c>
      <c r="M607" t="str">
        <f>IF(COUNTIF(Raw_Sales_Data3[Order ID],Raw_Sales_Data3[[#This Row],[Order ID]])&gt;1,"Duplicate Order ID","Unique Order ID")</f>
        <v>Unique Order ID</v>
      </c>
    </row>
    <row r="608" spans="1:13" x14ac:dyDescent="0.3">
      <c r="A608" t="s">
        <v>655</v>
      </c>
      <c r="B608" s="1">
        <v>46035</v>
      </c>
      <c r="C608" t="s">
        <v>42</v>
      </c>
      <c r="D608" t="s">
        <v>43</v>
      </c>
      <c r="E608" t="s">
        <v>34</v>
      </c>
      <c r="F608" t="s">
        <v>14</v>
      </c>
      <c r="G608" t="s">
        <v>103</v>
      </c>
      <c r="H608" s="5">
        <v>6</v>
      </c>
      <c r="I608" s="3">
        <v>8299</v>
      </c>
      <c r="J608" s="10">
        <v>10</v>
      </c>
      <c r="K608" s="2">
        <v>44814.6</v>
      </c>
      <c r="L608" s="2">
        <f>Raw_Sales_Data3[[#This Row],[Quantity]]*Raw_Sales_Data3[[#This Row],[Unit Price]]*(Raw_Sales_Data3[[#This Row],[Discount %]]/100)</f>
        <v>4979.4000000000005</v>
      </c>
      <c r="M608" t="str">
        <f>IF(COUNTIF(Raw_Sales_Data3[Order ID],Raw_Sales_Data3[[#This Row],[Order ID]])&gt;1,"Duplicate Order ID","Unique Order ID")</f>
        <v>Unique Order ID</v>
      </c>
    </row>
    <row r="609" spans="1:13" x14ac:dyDescent="0.3">
      <c r="A609" t="s">
        <v>656</v>
      </c>
      <c r="B609" s="1">
        <v>46097</v>
      </c>
      <c r="C609" t="s">
        <v>45</v>
      </c>
      <c r="D609" t="s">
        <v>23</v>
      </c>
      <c r="E609" t="s">
        <v>39</v>
      </c>
      <c r="F609" t="s">
        <v>14</v>
      </c>
      <c r="G609" t="s">
        <v>55</v>
      </c>
      <c r="H609" s="5">
        <v>15</v>
      </c>
      <c r="I609" s="3">
        <v>3434</v>
      </c>
      <c r="J609" s="10">
        <v>15</v>
      </c>
      <c r="K609" s="2">
        <v>43783.5</v>
      </c>
      <c r="L609" s="2">
        <f>Raw_Sales_Data3[[#This Row],[Quantity]]*Raw_Sales_Data3[[#This Row],[Unit Price]]*(Raw_Sales_Data3[[#This Row],[Discount %]]/100)</f>
        <v>7726.5</v>
      </c>
      <c r="M609" t="str">
        <f>IF(COUNTIF(Raw_Sales_Data3[Order ID],Raw_Sales_Data3[[#This Row],[Order ID]])&gt;1,"Duplicate Order ID","Unique Order ID")</f>
        <v>Unique Order ID</v>
      </c>
    </row>
    <row r="610" spans="1:13" x14ac:dyDescent="0.3">
      <c r="A610" t="s">
        <v>657</v>
      </c>
      <c r="B610" s="1">
        <v>46090</v>
      </c>
      <c r="C610" t="s">
        <v>86</v>
      </c>
      <c r="D610" t="s">
        <v>23</v>
      </c>
      <c r="E610" t="s">
        <v>18</v>
      </c>
      <c r="F610" t="s">
        <v>19</v>
      </c>
      <c r="G610" t="s">
        <v>117</v>
      </c>
      <c r="H610" s="5">
        <v>2</v>
      </c>
      <c r="I610" s="3">
        <v>20603</v>
      </c>
      <c r="J610" s="10">
        <v>10</v>
      </c>
      <c r="K610" s="2">
        <v>37085.4</v>
      </c>
      <c r="L610" s="2">
        <f>Raw_Sales_Data3[[#This Row],[Quantity]]*Raw_Sales_Data3[[#This Row],[Unit Price]]*(Raw_Sales_Data3[[#This Row],[Discount %]]/100)</f>
        <v>4120.6000000000004</v>
      </c>
      <c r="M610" t="str">
        <f>IF(COUNTIF(Raw_Sales_Data3[Order ID],Raw_Sales_Data3[[#This Row],[Order ID]])&gt;1,"Duplicate Order ID","Unique Order ID")</f>
        <v>Unique Order ID</v>
      </c>
    </row>
    <row r="611" spans="1:13" x14ac:dyDescent="0.3">
      <c r="A611" t="s">
        <v>658</v>
      </c>
      <c r="B611" s="1">
        <v>46050</v>
      </c>
      <c r="C611" t="s">
        <v>27</v>
      </c>
      <c r="D611" t="s">
        <v>43</v>
      </c>
      <c r="E611" t="s">
        <v>18</v>
      </c>
      <c r="F611" t="s">
        <v>19</v>
      </c>
      <c r="G611" t="s">
        <v>40</v>
      </c>
      <c r="H611" s="5">
        <v>15</v>
      </c>
      <c r="I611" s="3">
        <v>14107</v>
      </c>
      <c r="J611" s="10">
        <v>0</v>
      </c>
      <c r="K611" s="2">
        <v>211605</v>
      </c>
      <c r="L611" s="2">
        <f>Raw_Sales_Data3[[#This Row],[Quantity]]*Raw_Sales_Data3[[#This Row],[Unit Price]]*(Raw_Sales_Data3[[#This Row],[Discount %]]/100)</f>
        <v>0</v>
      </c>
      <c r="M611" t="str">
        <f>IF(COUNTIF(Raw_Sales_Data3[Order ID],Raw_Sales_Data3[[#This Row],[Order ID]])&gt;1,"Duplicate Order ID","Unique Order ID")</f>
        <v>Unique Order ID</v>
      </c>
    </row>
    <row r="612" spans="1:13" x14ac:dyDescent="0.3">
      <c r="A612" t="s">
        <v>659</v>
      </c>
      <c r="B612" s="1">
        <v>46075</v>
      </c>
      <c r="C612" t="s">
        <v>91</v>
      </c>
      <c r="D612" t="s">
        <v>70</v>
      </c>
      <c r="E612" t="s">
        <v>34</v>
      </c>
      <c r="F612" t="s">
        <v>24</v>
      </c>
      <c r="G612" t="s">
        <v>25</v>
      </c>
      <c r="H612" s="5">
        <v>4</v>
      </c>
      <c r="I612" s="3">
        <v>47475</v>
      </c>
      <c r="J612" s="10">
        <v>20</v>
      </c>
      <c r="K612" s="2">
        <v>151920</v>
      </c>
      <c r="L612" s="2">
        <f>Raw_Sales_Data3[[#This Row],[Quantity]]*Raw_Sales_Data3[[#This Row],[Unit Price]]*(Raw_Sales_Data3[[#This Row],[Discount %]]/100)</f>
        <v>37980</v>
      </c>
      <c r="M612" t="str">
        <f>IF(COUNTIF(Raw_Sales_Data3[Order ID],Raw_Sales_Data3[[#This Row],[Order ID]])&gt;1,"Duplicate Order ID","Unique Order ID")</f>
        <v>Unique Order ID</v>
      </c>
    </row>
    <row r="613" spans="1:13" x14ac:dyDescent="0.3">
      <c r="A613" t="s">
        <v>660</v>
      </c>
      <c r="B613" s="1">
        <v>46028</v>
      </c>
      <c r="C613" t="s">
        <v>69</v>
      </c>
      <c r="D613" t="s">
        <v>58</v>
      </c>
      <c r="E613" t="s">
        <v>28</v>
      </c>
      <c r="F613" t="s">
        <v>19</v>
      </c>
      <c r="G613" t="s">
        <v>59</v>
      </c>
      <c r="H613" s="5">
        <v>13</v>
      </c>
      <c r="I613" s="3">
        <v>4163</v>
      </c>
      <c r="J613" s="10">
        <v>10</v>
      </c>
      <c r="K613" s="2">
        <v>48707.1</v>
      </c>
      <c r="L613" s="2">
        <f>Raw_Sales_Data3[[#This Row],[Quantity]]*Raw_Sales_Data3[[#This Row],[Unit Price]]*(Raw_Sales_Data3[[#This Row],[Discount %]]/100)</f>
        <v>5411.9000000000005</v>
      </c>
      <c r="M613" t="str">
        <f>IF(COUNTIF(Raw_Sales_Data3[Order ID],Raw_Sales_Data3[[#This Row],[Order ID]])&gt;1,"Duplicate Order ID","Unique Order ID")</f>
        <v>Unique Order ID</v>
      </c>
    </row>
    <row r="614" spans="1:13" x14ac:dyDescent="0.3">
      <c r="A614" t="s">
        <v>661</v>
      </c>
      <c r="B614" s="1">
        <v>46091</v>
      </c>
      <c r="C614" t="s">
        <v>54</v>
      </c>
      <c r="D614" t="s">
        <v>58</v>
      </c>
      <c r="E614" t="s">
        <v>18</v>
      </c>
      <c r="F614" t="s">
        <v>19</v>
      </c>
      <c r="G614" t="s">
        <v>147</v>
      </c>
      <c r="H614" s="5">
        <v>7</v>
      </c>
      <c r="I614" s="3">
        <v>30692</v>
      </c>
      <c r="J614" s="10">
        <v>20</v>
      </c>
      <c r="K614" s="2">
        <v>171875.20000000001</v>
      </c>
      <c r="L614" s="2">
        <f>Raw_Sales_Data3[[#This Row],[Quantity]]*Raw_Sales_Data3[[#This Row],[Unit Price]]*(Raw_Sales_Data3[[#This Row],[Discount %]]/100)</f>
        <v>42968.800000000003</v>
      </c>
      <c r="M614" t="str">
        <f>IF(COUNTIF(Raw_Sales_Data3[Order ID],Raw_Sales_Data3[[#This Row],[Order ID]])&gt;1,"Duplicate Order ID","Unique Order ID")</f>
        <v>Unique Order ID</v>
      </c>
    </row>
    <row r="615" spans="1:13" x14ac:dyDescent="0.3">
      <c r="A615" t="s">
        <v>662</v>
      </c>
      <c r="B615" s="1">
        <v>46063</v>
      </c>
      <c r="C615" t="s">
        <v>45</v>
      </c>
      <c r="D615" t="s">
        <v>70</v>
      </c>
      <c r="E615" t="s">
        <v>39</v>
      </c>
      <c r="F615" t="s">
        <v>19</v>
      </c>
      <c r="G615" t="s">
        <v>46</v>
      </c>
      <c r="H615" s="5">
        <v>8</v>
      </c>
      <c r="I615" s="3">
        <v>46222</v>
      </c>
      <c r="J615" s="10">
        <v>0</v>
      </c>
      <c r="K615" s="2">
        <v>369776</v>
      </c>
      <c r="L615" s="2">
        <f>Raw_Sales_Data3[[#This Row],[Quantity]]*Raw_Sales_Data3[[#This Row],[Unit Price]]*(Raw_Sales_Data3[[#This Row],[Discount %]]/100)</f>
        <v>0</v>
      </c>
      <c r="M615" t="str">
        <f>IF(COUNTIF(Raw_Sales_Data3[Order ID],Raw_Sales_Data3[[#This Row],[Order ID]])&gt;1,"Duplicate Order ID","Unique Order ID")</f>
        <v>Unique Order ID</v>
      </c>
    </row>
    <row r="616" spans="1:13" x14ac:dyDescent="0.3">
      <c r="A616" t="s">
        <v>663</v>
      </c>
      <c r="B616" s="1">
        <v>46031</v>
      </c>
      <c r="C616" t="s">
        <v>33</v>
      </c>
      <c r="D616" t="s">
        <v>23</v>
      </c>
      <c r="E616" t="s">
        <v>34</v>
      </c>
      <c r="F616" t="s">
        <v>24</v>
      </c>
      <c r="G616" t="s">
        <v>25</v>
      </c>
      <c r="H616" s="5">
        <f>K616/(I616*(1-J616/100))</f>
        <v>8</v>
      </c>
      <c r="I616" s="3">
        <v>3990</v>
      </c>
      <c r="J616" s="10">
        <v>20</v>
      </c>
      <c r="K616" s="2">
        <v>25536</v>
      </c>
      <c r="L616" s="2">
        <f>Raw_Sales_Data3[[#This Row],[Quantity]]*Raw_Sales_Data3[[#This Row],[Unit Price]]*(Raw_Sales_Data3[[#This Row],[Discount %]]/100)</f>
        <v>6384</v>
      </c>
      <c r="M616" t="str">
        <f>IF(COUNTIF(Raw_Sales_Data3[Order ID],Raw_Sales_Data3[[#This Row],[Order ID]])&gt;1,"Duplicate Order ID","Unique Order ID")</f>
        <v>Unique Order ID</v>
      </c>
    </row>
    <row r="617" spans="1:13" x14ac:dyDescent="0.3">
      <c r="A617" t="s">
        <v>664</v>
      </c>
      <c r="B617" s="1">
        <v>46059</v>
      </c>
      <c r="C617" t="s">
        <v>64</v>
      </c>
      <c r="D617" t="s">
        <v>43</v>
      </c>
      <c r="E617" t="s">
        <v>39</v>
      </c>
      <c r="F617" t="s">
        <v>14</v>
      </c>
      <c r="G617" t="s">
        <v>15</v>
      </c>
      <c r="H617" s="5">
        <v>2</v>
      </c>
      <c r="I617" s="3">
        <v>41633</v>
      </c>
      <c r="J617" s="10">
        <v>0</v>
      </c>
      <c r="K617" s="2">
        <v>83266</v>
      </c>
      <c r="L617" s="2">
        <f>Raw_Sales_Data3[[#This Row],[Quantity]]*Raw_Sales_Data3[[#This Row],[Unit Price]]*(Raw_Sales_Data3[[#This Row],[Discount %]]/100)</f>
        <v>0</v>
      </c>
      <c r="M617" t="str">
        <f>IF(COUNTIF(Raw_Sales_Data3[Order ID],Raw_Sales_Data3[[#This Row],[Order ID]])&gt;1,"Duplicate Order ID","Unique Order ID")</f>
        <v>Unique Order ID</v>
      </c>
    </row>
    <row r="618" spans="1:13" x14ac:dyDescent="0.3">
      <c r="A618" t="s">
        <v>665</v>
      </c>
      <c r="B618" s="1">
        <v>46032</v>
      </c>
      <c r="C618" t="s">
        <v>33</v>
      </c>
      <c r="D618" t="s">
        <v>70</v>
      </c>
      <c r="E618" t="s">
        <v>13</v>
      </c>
      <c r="F618" t="s">
        <v>19</v>
      </c>
      <c r="G618" t="s">
        <v>40</v>
      </c>
      <c r="H618" s="5">
        <v>4</v>
      </c>
      <c r="I618" s="3">
        <v>9333</v>
      </c>
      <c r="J618" s="10">
        <v>15</v>
      </c>
      <c r="K618" s="2">
        <v>31732.2</v>
      </c>
      <c r="L618" s="2">
        <f>Raw_Sales_Data3[[#This Row],[Quantity]]*Raw_Sales_Data3[[#This Row],[Unit Price]]*(Raw_Sales_Data3[[#This Row],[Discount %]]/100)</f>
        <v>5599.8</v>
      </c>
      <c r="M618" t="str">
        <f>IF(COUNTIF(Raw_Sales_Data3[Order ID],Raw_Sales_Data3[[#This Row],[Order ID]])&gt;1,"Duplicate Order ID","Unique Order ID")</f>
        <v>Unique Order ID</v>
      </c>
    </row>
    <row r="619" spans="1:13" x14ac:dyDescent="0.3">
      <c r="A619" t="s">
        <v>666</v>
      </c>
      <c r="B619" s="1">
        <v>46055</v>
      </c>
      <c r="C619" t="s">
        <v>42</v>
      </c>
      <c r="D619" t="s">
        <v>23</v>
      </c>
      <c r="E619" t="s">
        <v>28</v>
      </c>
      <c r="F619" t="s">
        <v>14</v>
      </c>
      <c r="G619" t="s">
        <v>103</v>
      </c>
      <c r="H619" s="5">
        <v>13</v>
      </c>
      <c r="I619" s="3">
        <v>37105</v>
      </c>
      <c r="J619" s="10">
        <v>15</v>
      </c>
      <c r="K619" s="2">
        <v>410010.25</v>
      </c>
      <c r="L619" s="2">
        <f>Raw_Sales_Data3[[#This Row],[Quantity]]*Raw_Sales_Data3[[#This Row],[Unit Price]]*(Raw_Sales_Data3[[#This Row],[Discount %]]/100)</f>
        <v>72354.75</v>
      </c>
      <c r="M619" t="str">
        <f>IF(COUNTIF(Raw_Sales_Data3[Order ID],Raw_Sales_Data3[[#This Row],[Order ID]])&gt;1,"Duplicate Order ID","Unique Order ID")</f>
        <v>Unique Order ID</v>
      </c>
    </row>
    <row r="620" spans="1:13" x14ac:dyDescent="0.3">
      <c r="A620" t="s">
        <v>667</v>
      </c>
      <c r="B620" s="1">
        <v>46064</v>
      </c>
      <c r="C620" t="s">
        <v>91</v>
      </c>
      <c r="D620" t="s">
        <v>23</v>
      </c>
      <c r="E620" t="s">
        <v>39</v>
      </c>
      <c r="F620" t="s">
        <v>19</v>
      </c>
      <c r="G620" t="s">
        <v>98</v>
      </c>
      <c r="H620" s="5">
        <v>8</v>
      </c>
      <c r="I620" s="3">
        <v>41219</v>
      </c>
      <c r="J620" s="10">
        <v>0</v>
      </c>
      <c r="K620" s="2">
        <v>329752</v>
      </c>
      <c r="L620" s="2">
        <f>Raw_Sales_Data3[[#This Row],[Quantity]]*Raw_Sales_Data3[[#This Row],[Unit Price]]*(Raw_Sales_Data3[[#This Row],[Discount %]]/100)</f>
        <v>0</v>
      </c>
      <c r="M620" t="str">
        <f>IF(COUNTIF(Raw_Sales_Data3[Order ID],Raw_Sales_Data3[[#This Row],[Order ID]])&gt;1,"Duplicate Order ID","Unique Order ID")</f>
        <v>Duplicate Order ID</v>
      </c>
    </row>
    <row r="621" spans="1:13" x14ac:dyDescent="0.3">
      <c r="A621" t="s">
        <v>667</v>
      </c>
      <c r="B621" s="1">
        <v>46072</v>
      </c>
      <c r="C621" t="s">
        <v>38</v>
      </c>
      <c r="D621" t="s">
        <v>70</v>
      </c>
      <c r="E621" t="s">
        <v>28</v>
      </c>
      <c r="F621" t="s">
        <v>14</v>
      </c>
      <c r="G621" t="s">
        <v>103</v>
      </c>
      <c r="H621" s="5">
        <v>6</v>
      </c>
      <c r="I621" s="3">
        <f>K621/H621</f>
        <v>46977.799999999996</v>
      </c>
      <c r="J621" s="10">
        <v>15</v>
      </c>
      <c r="K621" s="2">
        <v>281866.8</v>
      </c>
      <c r="L621" s="2">
        <f>Raw_Sales_Data3[[#This Row],[Quantity]]*Raw_Sales_Data3[[#This Row],[Unit Price]]*(Raw_Sales_Data3[[#This Row],[Discount %]]/100)</f>
        <v>42280.02</v>
      </c>
      <c r="M621" t="str">
        <f>IF(COUNTIF(Raw_Sales_Data3[Order ID],Raw_Sales_Data3[[#This Row],[Order ID]])&gt;1,"Duplicate Order ID","Unique Order ID")</f>
        <v>Duplicate Order ID</v>
      </c>
    </row>
    <row r="622" spans="1:13" x14ac:dyDescent="0.3">
      <c r="A622" t="s">
        <v>668</v>
      </c>
      <c r="B622" s="1">
        <v>46044</v>
      </c>
      <c r="C622" t="s">
        <v>57</v>
      </c>
      <c r="D622" t="s">
        <v>23</v>
      </c>
      <c r="E622" t="s">
        <v>13</v>
      </c>
      <c r="F622" t="s">
        <v>24</v>
      </c>
      <c r="G622" t="s">
        <v>29</v>
      </c>
      <c r="H622" s="5">
        <v>10</v>
      </c>
      <c r="I622" s="3">
        <v>58444</v>
      </c>
      <c r="J622" s="10">
        <v>20</v>
      </c>
      <c r="K622" s="2">
        <v>467552</v>
      </c>
      <c r="L622" s="2">
        <f>Raw_Sales_Data3[[#This Row],[Quantity]]*Raw_Sales_Data3[[#This Row],[Unit Price]]*(Raw_Sales_Data3[[#This Row],[Discount %]]/100)</f>
        <v>116888</v>
      </c>
      <c r="M622" t="str">
        <f>IF(COUNTIF(Raw_Sales_Data3[Order ID],Raw_Sales_Data3[[#This Row],[Order ID]])&gt;1,"Duplicate Order ID","Unique Order ID")</f>
        <v>Unique Order ID</v>
      </c>
    </row>
    <row r="623" spans="1:13" x14ac:dyDescent="0.3">
      <c r="A623" t="s">
        <v>669</v>
      </c>
      <c r="B623" s="1">
        <v>46103</v>
      </c>
      <c r="C623" t="s">
        <v>27</v>
      </c>
      <c r="D623" t="s">
        <v>58</v>
      </c>
      <c r="E623" t="s">
        <v>18</v>
      </c>
      <c r="F623" t="s">
        <v>24</v>
      </c>
      <c r="G623" t="s">
        <v>71</v>
      </c>
      <c r="H623" s="5">
        <v>2</v>
      </c>
      <c r="I623" s="3">
        <v>44624</v>
      </c>
      <c r="J623" s="10">
        <v>0</v>
      </c>
      <c r="K623" s="2">
        <v>89248</v>
      </c>
      <c r="L623" s="2">
        <f>Raw_Sales_Data3[[#This Row],[Quantity]]*Raw_Sales_Data3[[#This Row],[Unit Price]]*(Raw_Sales_Data3[[#This Row],[Discount %]]/100)</f>
        <v>0</v>
      </c>
      <c r="M623" t="str">
        <f>IF(COUNTIF(Raw_Sales_Data3[Order ID],Raw_Sales_Data3[[#This Row],[Order ID]])&gt;1,"Duplicate Order ID","Unique Order ID")</f>
        <v>Unique Order ID</v>
      </c>
    </row>
    <row r="624" spans="1:13" x14ac:dyDescent="0.3">
      <c r="A624" t="s">
        <v>670</v>
      </c>
      <c r="B624" s="1">
        <v>46044</v>
      </c>
      <c r="C624" t="s">
        <v>54</v>
      </c>
      <c r="D624" t="s">
        <v>23</v>
      </c>
      <c r="E624" t="s">
        <v>13</v>
      </c>
      <c r="F624" t="s">
        <v>24</v>
      </c>
      <c r="G624" t="s">
        <v>77</v>
      </c>
      <c r="H624" s="5">
        <v>6</v>
      </c>
      <c r="I624" s="3">
        <v>37193</v>
      </c>
      <c r="J624" s="10">
        <v>0</v>
      </c>
      <c r="K624" s="2">
        <v>223158</v>
      </c>
      <c r="L624" s="2">
        <f>Raw_Sales_Data3[[#This Row],[Quantity]]*Raw_Sales_Data3[[#This Row],[Unit Price]]*(Raw_Sales_Data3[[#This Row],[Discount %]]/100)</f>
        <v>0</v>
      </c>
      <c r="M624" t="str">
        <f>IF(COUNTIF(Raw_Sales_Data3[Order ID],Raw_Sales_Data3[[#This Row],[Order ID]])&gt;1,"Duplicate Order ID","Unique Order ID")</f>
        <v>Unique Order ID</v>
      </c>
    </row>
    <row r="625" spans="1:13" x14ac:dyDescent="0.3">
      <c r="A625" t="s">
        <v>671</v>
      </c>
      <c r="B625" s="1">
        <v>46054</v>
      </c>
      <c r="C625" t="s">
        <v>12</v>
      </c>
      <c r="D625" t="s">
        <v>70</v>
      </c>
      <c r="E625" t="s">
        <v>13</v>
      </c>
      <c r="F625" t="s">
        <v>19</v>
      </c>
      <c r="G625" t="s">
        <v>46</v>
      </c>
      <c r="H625" s="5">
        <v>8</v>
      </c>
      <c r="I625" s="3">
        <v>11009</v>
      </c>
      <c r="J625" s="10">
        <v>20</v>
      </c>
      <c r="K625" s="2">
        <v>70457.600000000006</v>
      </c>
      <c r="L625" s="2">
        <f>Raw_Sales_Data3[[#This Row],[Quantity]]*Raw_Sales_Data3[[#This Row],[Unit Price]]*(Raw_Sales_Data3[[#This Row],[Discount %]]/100)</f>
        <v>17614.400000000001</v>
      </c>
      <c r="M625" t="str">
        <f>IF(COUNTIF(Raw_Sales_Data3[Order ID],Raw_Sales_Data3[[#This Row],[Order ID]])&gt;1,"Duplicate Order ID","Unique Order ID")</f>
        <v>Unique Order ID</v>
      </c>
    </row>
    <row r="626" spans="1:13" x14ac:dyDescent="0.3">
      <c r="A626" t="s">
        <v>672</v>
      </c>
      <c r="B626" s="1">
        <v>46043</v>
      </c>
      <c r="C626" t="s">
        <v>123</v>
      </c>
      <c r="D626" t="s">
        <v>70</v>
      </c>
      <c r="E626" t="s">
        <v>13</v>
      </c>
      <c r="F626" t="s">
        <v>24</v>
      </c>
      <c r="G626" t="s">
        <v>53</v>
      </c>
      <c r="H626" s="5">
        <v>8</v>
      </c>
      <c r="I626" s="3">
        <v>6776</v>
      </c>
      <c r="J626" s="10">
        <v>0</v>
      </c>
      <c r="K626" s="2">
        <v>54208</v>
      </c>
      <c r="L626" s="2">
        <f>Raw_Sales_Data3[[#This Row],[Quantity]]*Raw_Sales_Data3[[#This Row],[Unit Price]]*(Raw_Sales_Data3[[#This Row],[Discount %]]/100)</f>
        <v>0</v>
      </c>
      <c r="M626" t="str">
        <f>IF(COUNTIF(Raw_Sales_Data3[Order ID],Raw_Sales_Data3[[#This Row],[Order ID]])&gt;1,"Duplicate Order ID","Unique Order ID")</f>
        <v>Unique Order ID</v>
      </c>
    </row>
    <row r="627" spans="1:13" x14ac:dyDescent="0.3">
      <c r="A627" t="s">
        <v>673</v>
      </c>
      <c r="B627" s="1">
        <v>46076</v>
      </c>
      <c r="C627" t="s">
        <v>89</v>
      </c>
      <c r="D627" t="s">
        <v>23</v>
      </c>
      <c r="E627" t="s">
        <v>39</v>
      </c>
      <c r="F627" t="s">
        <v>24</v>
      </c>
      <c r="G627" t="s">
        <v>71</v>
      </c>
      <c r="H627" s="5">
        <v>9</v>
      </c>
      <c r="I627" s="3">
        <f>K627/H627</f>
        <v>38654</v>
      </c>
      <c r="J627" s="10">
        <v>0</v>
      </c>
      <c r="K627" s="2">
        <v>347886</v>
      </c>
      <c r="L627" s="2">
        <f>Raw_Sales_Data3[[#This Row],[Quantity]]*Raw_Sales_Data3[[#This Row],[Unit Price]]*(Raw_Sales_Data3[[#This Row],[Discount %]]/100)</f>
        <v>0</v>
      </c>
      <c r="M627" t="str">
        <f>IF(COUNTIF(Raw_Sales_Data3[Order ID],Raw_Sales_Data3[[#This Row],[Order ID]])&gt;1,"Duplicate Order ID","Unique Order ID")</f>
        <v>Unique Order ID</v>
      </c>
    </row>
    <row r="628" spans="1:13" x14ac:dyDescent="0.3">
      <c r="A628" t="s">
        <v>674</v>
      </c>
      <c r="B628" s="1">
        <v>46098</v>
      </c>
      <c r="C628" t="s">
        <v>123</v>
      </c>
      <c r="D628" t="s">
        <v>23</v>
      </c>
      <c r="E628" t="s">
        <v>18</v>
      </c>
      <c r="F628" t="s">
        <v>14</v>
      </c>
      <c r="G628" t="s">
        <v>156</v>
      </c>
      <c r="H628" s="5">
        <v>15</v>
      </c>
      <c r="I628" s="3">
        <v>7399</v>
      </c>
      <c r="J628" s="10">
        <v>10</v>
      </c>
      <c r="K628" s="2">
        <v>99886.5</v>
      </c>
      <c r="L628" s="2">
        <f>Raw_Sales_Data3[[#This Row],[Quantity]]*Raw_Sales_Data3[[#This Row],[Unit Price]]*(Raw_Sales_Data3[[#This Row],[Discount %]]/100)</f>
        <v>11098.5</v>
      </c>
      <c r="M628" t="str">
        <f>IF(COUNTIF(Raw_Sales_Data3[Order ID],Raw_Sales_Data3[[#This Row],[Order ID]])&gt;1,"Duplicate Order ID","Unique Order ID")</f>
        <v>Unique Order ID</v>
      </c>
    </row>
    <row r="629" spans="1:13" x14ac:dyDescent="0.3">
      <c r="A629" t="s">
        <v>675</v>
      </c>
      <c r="B629" s="1">
        <v>46104</v>
      </c>
      <c r="C629" t="s">
        <v>42</v>
      </c>
      <c r="D629" t="s">
        <v>23</v>
      </c>
      <c r="E629" t="s">
        <v>39</v>
      </c>
      <c r="F629" t="s">
        <v>24</v>
      </c>
      <c r="G629" t="s">
        <v>25</v>
      </c>
      <c r="H629" s="5">
        <v>2</v>
      </c>
      <c r="I629" s="3">
        <v>3126</v>
      </c>
      <c r="J629" s="10">
        <v>0</v>
      </c>
      <c r="K629" s="2">
        <v>6252</v>
      </c>
      <c r="L629" s="2">
        <f>Raw_Sales_Data3[[#This Row],[Quantity]]*Raw_Sales_Data3[[#This Row],[Unit Price]]*(Raw_Sales_Data3[[#This Row],[Discount %]]/100)</f>
        <v>0</v>
      </c>
      <c r="M629" t="str">
        <f>IF(COUNTIF(Raw_Sales_Data3[Order ID],Raw_Sales_Data3[[#This Row],[Order ID]])&gt;1,"Duplicate Order ID","Unique Order ID")</f>
        <v>Unique Order ID</v>
      </c>
    </row>
    <row r="630" spans="1:13" x14ac:dyDescent="0.3">
      <c r="A630" t="s">
        <v>676</v>
      </c>
      <c r="B630" s="1">
        <v>46111</v>
      </c>
      <c r="C630" t="s">
        <v>22</v>
      </c>
      <c r="D630" t="s">
        <v>23</v>
      </c>
      <c r="E630" t="s">
        <v>28</v>
      </c>
      <c r="F630" t="s">
        <v>14</v>
      </c>
      <c r="G630" t="s">
        <v>66</v>
      </c>
      <c r="H630" s="5">
        <v>10</v>
      </c>
      <c r="I630" s="3">
        <v>5117</v>
      </c>
      <c r="J630" s="10">
        <v>15</v>
      </c>
      <c r="K630" s="2">
        <v>43494.5</v>
      </c>
      <c r="L630" s="2">
        <f>Raw_Sales_Data3[[#This Row],[Quantity]]*Raw_Sales_Data3[[#This Row],[Unit Price]]*(Raw_Sales_Data3[[#This Row],[Discount %]]/100)</f>
        <v>7675.5</v>
      </c>
      <c r="M630" t="str">
        <f>IF(COUNTIF(Raw_Sales_Data3[Order ID],Raw_Sales_Data3[[#This Row],[Order ID]])&gt;1,"Duplicate Order ID","Unique Order ID")</f>
        <v>Unique Order ID</v>
      </c>
    </row>
    <row r="631" spans="1:13" x14ac:dyDescent="0.3">
      <c r="A631" t="s">
        <v>677</v>
      </c>
      <c r="B631" s="1">
        <v>46102</v>
      </c>
      <c r="C631" t="s">
        <v>57</v>
      </c>
      <c r="D631" t="s">
        <v>23</v>
      </c>
      <c r="E631" t="s">
        <v>34</v>
      </c>
      <c r="F631" t="s">
        <v>24</v>
      </c>
      <c r="G631" t="s">
        <v>25</v>
      </c>
      <c r="H631" s="5">
        <v>3</v>
      </c>
      <c r="I631" s="3">
        <v>46948</v>
      </c>
      <c r="J631" s="10">
        <v>15</v>
      </c>
      <c r="K631" s="2">
        <v>119717.4</v>
      </c>
      <c r="L631" s="2">
        <f>Raw_Sales_Data3[[#This Row],[Quantity]]*Raw_Sales_Data3[[#This Row],[Unit Price]]*(Raw_Sales_Data3[[#This Row],[Discount %]]/100)</f>
        <v>21126.6</v>
      </c>
      <c r="M631" t="str">
        <f>IF(COUNTIF(Raw_Sales_Data3[Order ID],Raw_Sales_Data3[[#This Row],[Order ID]])&gt;1,"Duplicate Order ID","Unique Order ID")</f>
        <v>Duplicate Order ID</v>
      </c>
    </row>
    <row r="632" spans="1:13" x14ac:dyDescent="0.3">
      <c r="A632" t="s">
        <v>677</v>
      </c>
      <c r="B632" s="1">
        <v>46054</v>
      </c>
      <c r="C632" t="s">
        <v>22</v>
      </c>
      <c r="D632" t="s">
        <v>43</v>
      </c>
      <c r="E632" t="s">
        <v>28</v>
      </c>
      <c r="F632" t="s">
        <v>24</v>
      </c>
      <c r="G632" t="s">
        <v>71</v>
      </c>
      <c r="H632" s="5">
        <v>6</v>
      </c>
      <c r="I632" s="3">
        <v>47234</v>
      </c>
      <c r="J632" s="10">
        <v>5</v>
      </c>
      <c r="K632" s="2">
        <v>269233.8</v>
      </c>
      <c r="L632" s="2">
        <f>Raw_Sales_Data3[[#This Row],[Quantity]]*Raw_Sales_Data3[[#This Row],[Unit Price]]*(Raw_Sales_Data3[[#This Row],[Discount %]]/100)</f>
        <v>14170.2</v>
      </c>
      <c r="M632" t="str">
        <f>IF(COUNTIF(Raw_Sales_Data3[Order ID],Raw_Sales_Data3[[#This Row],[Order ID]])&gt;1,"Duplicate Order ID","Unique Order ID")</f>
        <v>Duplicate Order ID</v>
      </c>
    </row>
    <row r="633" spans="1:13" x14ac:dyDescent="0.3">
      <c r="A633" t="s">
        <v>678</v>
      </c>
      <c r="B633" s="1">
        <v>46040</v>
      </c>
      <c r="C633" t="s">
        <v>89</v>
      </c>
      <c r="D633" t="s">
        <v>43</v>
      </c>
      <c r="E633" t="s">
        <v>28</v>
      </c>
      <c r="F633" t="s">
        <v>24</v>
      </c>
      <c r="G633" t="s">
        <v>55</v>
      </c>
      <c r="H633" s="5">
        <v>5</v>
      </c>
      <c r="I633" s="3">
        <v>4412</v>
      </c>
      <c r="J633" s="10">
        <v>15</v>
      </c>
      <c r="K633" s="2">
        <v>18751</v>
      </c>
      <c r="L633" s="2">
        <f>Raw_Sales_Data3[[#This Row],[Quantity]]*Raw_Sales_Data3[[#This Row],[Unit Price]]*(Raw_Sales_Data3[[#This Row],[Discount %]]/100)</f>
        <v>3309</v>
      </c>
      <c r="M633" t="str">
        <f>IF(COUNTIF(Raw_Sales_Data3[Order ID],Raw_Sales_Data3[[#This Row],[Order ID]])&gt;1,"Duplicate Order ID","Unique Order ID")</f>
        <v>Unique Order ID</v>
      </c>
    </row>
    <row r="634" spans="1:13" x14ac:dyDescent="0.3">
      <c r="A634" t="s">
        <v>679</v>
      </c>
      <c r="B634" s="1">
        <v>46106</v>
      </c>
      <c r="C634" t="s">
        <v>48</v>
      </c>
      <c r="D634" t="s">
        <v>23</v>
      </c>
      <c r="E634" t="s">
        <v>18</v>
      </c>
      <c r="F634" t="s">
        <v>14</v>
      </c>
      <c r="G634" t="s">
        <v>73</v>
      </c>
      <c r="H634" s="5">
        <v>9</v>
      </c>
      <c r="I634" s="3">
        <v>34284</v>
      </c>
      <c r="J634" s="10">
        <v>20</v>
      </c>
      <c r="K634" s="2">
        <v>246844.79999999999</v>
      </c>
      <c r="L634" s="2">
        <f>Raw_Sales_Data3[[#This Row],[Quantity]]*Raw_Sales_Data3[[#This Row],[Unit Price]]*(Raw_Sales_Data3[[#This Row],[Discount %]]/100)</f>
        <v>61711.200000000004</v>
      </c>
      <c r="M634" t="str">
        <f>IF(COUNTIF(Raw_Sales_Data3[Order ID],Raw_Sales_Data3[[#This Row],[Order ID]])&gt;1,"Duplicate Order ID","Unique Order ID")</f>
        <v>Unique Order ID</v>
      </c>
    </row>
    <row r="635" spans="1:13" x14ac:dyDescent="0.3">
      <c r="A635" t="s">
        <v>680</v>
      </c>
      <c r="B635" s="1">
        <v>46059</v>
      </c>
      <c r="C635" t="s">
        <v>62</v>
      </c>
      <c r="D635" t="s">
        <v>43</v>
      </c>
      <c r="E635" t="s">
        <v>39</v>
      </c>
      <c r="F635" t="s">
        <v>19</v>
      </c>
      <c r="G635" t="s">
        <v>25</v>
      </c>
      <c r="H635" s="5">
        <v>8</v>
      </c>
      <c r="I635" s="3">
        <v>50508</v>
      </c>
      <c r="J635" s="10">
        <v>0</v>
      </c>
      <c r="K635" s="2">
        <v>404064</v>
      </c>
      <c r="L635" s="2">
        <f>Raw_Sales_Data3[[#This Row],[Quantity]]*Raw_Sales_Data3[[#This Row],[Unit Price]]*(Raw_Sales_Data3[[#This Row],[Discount %]]/100)</f>
        <v>0</v>
      </c>
      <c r="M635" t="str">
        <f>IF(COUNTIF(Raw_Sales_Data3[Order ID],Raw_Sales_Data3[[#This Row],[Order ID]])&gt;1,"Duplicate Order ID","Unique Order ID")</f>
        <v>Unique Order ID</v>
      </c>
    </row>
    <row r="636" spans="1:13" x14ac:dyDescent="0.3">
      <c r="A636" t="s">
        <v>681</v>
      </c>
      <c r="B636" s="1">
        <v>46048</v>
      </c>
      <c r="C636" t="s">
        <v>123</v>
      </c>
      <c r="D636" t="s">
        <v>43</v>
      </c>
      <c r="E636" t="s">
        <v>39</v>
      </c>
      <c r="F636" t="s">
        <v>19</v>
      </c>
      <c r="G636" t="s">
        <v>59</v>
      </c>
      <c r="H636" s="5">
        <v>4</v>
      </c>
      <c r="I636" s="3">
        <v>19360</v>
      </c>
      <c r="J636" s="10">
        <v>5</v>
      </c>
      <c r="K636" s="2">
        <v>73568</v>
      </c>
      <c r="L636" s="2">
        <f>Raw_Sales_Data3[[#This Row],[Quantity]]*Raw_Sales_Data3[[#This Row],[Unit Price]]*(Raw_Sales_Data3[[#This Row],[Discount %]]/100)</f>
        <v>3872</v>
      </c>
      <c r="M636" t="str">
        <f>IF(COUNTIF(Raw_Sales_Data3[Order ID],Raw_Sales_Data3[[#This Row],[Order ID]])&gt;1,"Duplicate Order ID","Unique Order ID")</f>
        <v>Unique Order ID</v>
      </c>
    </row>
    <row r="637" spans="1:13" x14ac:dyDescent="0.3">
      <c r="A637" t="s">
        <v>682</v>
      </c>
      <c r="B637" s="1">
        <v>46061</v>
      </c>
      <c r="C637" t="s">
        <v>42</v>
      </c>
      <c r="D637" t="s">
        <v>23</v>
      </c>
      <c r="E637" t="s">
        <v>13</v>
      </c>
      <c r="F637" t="s">
        <v>24</v>
      </c>
      <c r="G637" t="s">
        <v>55</v>
      </c>
      <c r="H637" s="5">
        <v>4</v>
      </c>
      <c r="I637" s="3">
        <v>52313</v>
      </c>
      <c r="J637" s="10">
        <v>20</v>
      </c>
      <c r="K637" s="2">
        <v>167401.60000000001</v>
      </c>
      <c r="L637" s="2">
        <f>Raw_Sales_Data3[[#This Row],[Quantity]]*Raw_Sales_Data3[[#This Row],[Unit Price]]*(Raw_Sales_Data3[[#This Row],[Discount %]]/100)</f>
        <v>41850.400000000001</v>
      </c>
      <c r="M637" t="str">
        <f>IF(COUNTIF(Raw_Sales_Data3[Order ID],Raw_Sales_Data3[[#This Row],[Order ID]])&gt;1,"Duplicate Order ID","Unique Order ID")</f>
        <v>Unique Order ID</v>
      </c>
    </row>
    <row r="638" spans="1:13" x14ac:dyDescent="0.3">
      <c r="A638" t="s">
        <v>683</v>
      </c>
      <c r="B638" s="1">
        <v>46046</v>
      </c>
      <c r="C638" t="s">
        <v>89</v>
      </c>
      <c r="D638" t="s">
        <v>43</v>
      </c>
      <c r="E638" t="s">
        <v>28</v>
      </c>
      <c r="F638" t="s">
        <v>14</v>
      </c>
      <c r="G638" t="s">
        <v>125</v>
      </c>
      <c r="H638" s="5">
        <v>1</v>
      </c>
      <c r="I638" s="3">
        <v>6012</v>
      </c>
      <c r="J638" s="10">
        <v>20</v>
      </c>
      <c r="K638" s="2">
        <v>4809.6000000000004</v>
      </c>
      <c r="L638" s="2">
        <f>Raw_Sales_Data3[[#This Row],[Quantity]]*Raw_Sales_Data3[[#This Row],[Unit Price]]*(Raw_Sales_Data3[[#This Row],[Discount %]]/100)</f>
        <v>1202.4000000000001</v>
      </c>
      <c r="M638" t="str">
        <f>IF(COUNTIF(Raw_Sales_Data3[Order ID],Raw_Sales_Data3[[#This Row],[Order ID]])&gt;1,"Duplicate Order ID","Unique Order ID")</f>
        <v>Unique Order ID</v>
      </c>
    </row>
    <row r="639" spans="1:13" x14ac:dyDescent="0.3">
      <c r="A639" t="s">
        <v>684</v>
      </c>
      <c r="B639" s="1">
        <v>46064</v>
      </c>
      <c r="C639" t="s">
        <v>123</v>
      </c>
      <c r="D639" t="s">
        <v>23</v>
      </c>
      <c r="E639" t="s">
        <v>28</v>
      </c>
      <c r="F639" t="s">
        <v>24</v>
      </c>
      <c r="G639" t="s">
        <v>55</v>
      </c>
      <c r="H639" s="5">
        <v>10</v>
      </c>
      <c r="I639" s="3">
        <v>10590</v>
      </c>
      <c r="J639" s="10">
        <v>0</v>
      </c>
      <c r="K639" s="2">
        <v>100605</v>
      </c>
      <c r="L639" s="2">
        <f>Raw_Sales_Data3[[#This Row],[Quantity]]*Raw_Sales_Data3[[#This Row],[Unit Price]]*(Raw_Sales_Data3[[#This Row],[Discount %]]/100)</f>
        <v>0</v>
      </c>
      <c r="M639" t="str">
        <f>IF(COUNTIF(Raw_Sales_Data3[Order ID],Raw_Sales_Data3[[#This Row],[Order ID]])&gt;1,"Duplicate Order ID","Unique Order ID")</f>
        <v>Unique Order ID</v>
      </c>
    </row>
    <row r="640" spans="1:13" x14ac:dyDescent="0.3">
      <c r="A640" t="s">
        <v>685</v>
      </c>
      <c r="B640" s="1">
        <v>46110</v>
      </c>
      <c r="C640" t="s">
        <v>91</v>
      </c>
      <c r="D640" t="s">
        <v>43</v>
      </c>
      <c r="E640" t="s">
        <v>34</v>
      </c>
      <c r="F640" t="s">
        <v>14</v>
      </c>
      <c r="G640" t="s">
        <v>15</v>
      </c>
      <c r="H640" s="5">
        <v>12</v>
      </c>
      <c r="I640" s="3">
        <v>19375</v>
      </c>
      <c r="J640" s="10">
        <v>15</v>
      </c>
      <c r="K640" s="2">
        <v>197625</v>
      </c>
      <c r="L640" s="2">
        <f>Raw_Sales_Data3[[#This Row],[Quantity]]*Raw_Sales_Data3[[#This Row],[Unit Price]]*(Raw_Sales_Data3[[#This Row],[Discount %]]/100)</f>
        <v>34875</v>
      </c>
      <c r="M640" t="str">
        <f>IF(COUNTIF(Raw_Sales_Data3[Order ID],Raw_Sales_Data3[[#This Row],[Order ID]])&gt;1,"Duplicate Order ID","Unique Order ID")</f>
        <v>Unique Order ID</v>
      </c>
    </row>
    <row r="641" spans="1:13" x14ac:dyDescent="0.3">
      <c r="A641" t="s">
        <v>686</v>
      </c>
      <c r="B641" s="1">
        <v>46056</v>
      </c>
      <c r="C641" t="s">
        <v>17</v>
      </c>
      <c r="D641" t="s">
        <v>58</v>
      </c>
      <c r="E641" t="s">
        <v>28</v>
      </c>
      <c r="F641" t="s">
        <v>24</v>
      </c>
      <c r="G641" t="s">
        <v>25</v>
      </c>
      <c r="H641" s="5">
        <v>12</v>
      </c>
      <c r="I641" s="3">
        <v>57305</v>
      </c>
      <c r="J641" s="10">
        <v>5</v>
      </c>
      <c r="K641" s="2">
        <v>653277</v>
      </c>
      <c r="L641" s="2">
        <f>Raw_Sales_Data3[[#This Row],[Quantity]]*Raw_Sales_Data3[[#This Row],[Unit Price]]*(Raw_Sales_Data3[[#This Row],[Discount %]]/100)</f>
        <v>34383</v>
      </c>
      <c r="M641" t="str">
        <f>IF(COUNTIF(Raw_Sales_Data3[Order ID],Raw_Sales_Data3[[#This Row],[Order ID]])&gt;1,"Duplicate Order ID","Unique Order ID")</f>
        <v>Unique Order ID</v>
      </c>
    </row>
    <row r="642" spans="1:13" x14ac:dyDescent="0.3">
      <c r="A642" t="s">
        <v>687</v>
      </c>
      <c r="B642" s="1">
        <v>46090</v>
      </c>
      <c r="C642" t="s">
        <v>91</v>
      </c>
      <c r="D642" t="s">
        <v>58</v>
      </c>
      <c r="E642" t="s">
        <v>28</v>
      </c>
      <c r="F642" t="s">
        <v>19</v>
      </c>
      <c r="G642" t="s">
        <v>117</v>
      </c>
      <c r="H642" s="5">
        <v>7</v>
      </c>
      <c r="I642" s="3">
        <v>15463</v>
      </c>
      <c r="J642" s="10">
        <v>0</v>
      </c>
      <c r="K642" s="2">
        <v>108241</v>
      </c>
      <c r="L642" s="2">
        <f>Raw_Sales_Data3[[#This Row],[Quantity]]*Raw_Sales_Data3[[#This Row],[Unit Price]]*(Raw_Sales_Data3[[#This Row],[Discount %]]/100)</f>
        <v>0</v>
      </c>
      <c r="M642" t="str">
        <f>IF(COUNTIF(Raw_Sales_Data3[Order ID],Raw_Sales_Data3[[#This Row],[Order ID]])&gt;1,"Duplicate Order ID","Unique Order ID")</f>
        <v>Unique Order ID</v>
      </c>
    </row>
    <row r="643" spans="1:13" x14ac:dyDescent="0.3">
      <c r="A643" t="s">
        <v>688</v>
      </c>
      <c r="B643" s="1">
        <v>46112</v>
      </c>
      <c r="C643" t="s">
        <v>12</v>
      </c>
      <c r="D643" t="s">
        <v>58</v>
      </c>
      <c r="E643" t="s">
        <v>18</v>
      </c>
      <c r="F643" t="s">
        <v>24</v>
      </c>
      <c r="G643" t="s">
        <v>55</v>
      </c>
      <c r="H643" s="5">
        <v>15</v>
      </c>
      <c r="I643" s="3">
        <v>44239</v>
      </c>
      <c r="J643" s="10">
        <v>10</v>
      </c>
      <c r="K643" s="2">
        <v>597226.5</v>
      </c>
      <c r="L643" s="2">
        <f>Raw_Sales_Data3[[#This Row],[Quantity]]*Raw_Sales_Data3[[#This Row],[Unit Price]]*(Raw_Sales_Data3[[#This Row],[Discount %]]/100)</f>
        <v>66358.5</v>
      </c>
      <c r="M643" t="str">
        <f>IF(COUNTIF(Raw_Sales_Data3[Order ID],Raw_Sales_Data3[[#This Row],[Order ID]])&gt;1,"Duplicate Order ID","Unique Order ID")</f>
        <v>Unique Order ID</v>
      </c>
    </row>
    <row r="644" spans="1:13" x14ac:dyDescent="0.3">
      <c r="A644" t="s">
        <v>689</v>
      </c>
      <c r="B644" s="1">
        <v>46076</v>
      </c>
      <c r="C644" t="s">
        <v>62</v>
      </c>
      <c r="D644" t="s">
        <v>43</v>
      </c>
      <c r="E644" t="s">
        <v>28</v>
      </c>
      <c r="F644" t="s">
        <v>19</v>
      </c>
      <c r="G644" t="s">
        <v>79</v>
      </c>
      <c r="H644" s="5">
        <v>13</v>
      </c>
      <c r="I644" s="3">
        <v>24438</v>
      </c>
      <c r="J644" s="10">
        <v>15</v>
      </c>
      <c r="K644" s="2">
        <v>270039.90000000002</v>
      </c>
      <c r="L644" s="2">
        <f>Raw_Sales_Data3[[#This Row],[Quantity]]*Raw_Sales_Data3[[#This Row],[Unit Price]]*(Raw_Sales_Data3[[#This Row],[Discount %]]/100)</f>
        <v>47654.1</v>
      </c>
      <c r="M644" t="str">
        <f>IF(COUNTIF(Raw_Sales_Data3[Order ID],Raw_Sales_Data3[[#This Row],[Order ID]])&gt;1,"Duplicate Order ID","Unique Order ID")</f>
        <v>Unique Order ID</v>
      </c>
    </row>
    <row r="645" spans="1:13" x14ac:dyDescent="0.3">
      <c r="A645" t="s">
        <v>690</v>
      </c>
      <c r="B645" s="1">
        <v>46074</v>
      </c>
      <c r="C645" t="s">
        <v>27</v>
      </c>
      <c r="D645" t="s">
        <v>58</v>
      </c>
      <c r="E645" t="s">
        <v>39</v>
      </c>
      <c r="F645" t="s">
        <v>19</v>
      </c>
      <c r="G645" t="s">
        <v>59</v>
      </c>
      <c r="H645" s="5">
        <v>13</v>
      </c>
      <c r="I645" s="3">
        <v>48050</v>
      </c>
      <c r="J645" s="10">
        <v>5</v>
      </c>
      <c r="K645" s="2">
        <v>593417.5</v>
      </c>
      <c r="L645" s="2">
        <f>Raw_Sales_Data3[[#This Row],[Quantity]]*Raw_Sales_Data3[[#This Row],[Unit Price]]*(Raw_Sales_Data3[[#This Row],[Discount %]]/100)</f>
        <v>31232.5</v>
      </c>
      <c r="M645" t="str">
        <f>IF(COUNTIF(Raw_Sales_Data3[Order ID],Raw_Sales_Data3[[#This Row],[Order ID]])&gt;1,"Duplicate Order ID","Unique Order ID")</f>
        <v>Duplicate Order ID</v>
      </c>
    </row>
    <row r="646" spans="1:13" x14ac:dyDescent="0.3">
      <c r="A646" t="s">
        <v>690</v>
      </c>
      <c r="B646" s="1">
        <v>46098</v>
      </c>
      <c r="C646" t="s">
        <v>64</v>
      </c>
      <c r="D646" t="s">
        <v>23</v>
      </c>
      <c r="E646" t="s">
        <v>39</v>
      </c>
      <c r="F646" t="s">
        <v>24</v>
      </c>
      <c r="G646" t="s">
        <v>71</v>
      </c>
      <c r="H646" s="5">
        <v>10</v>
      </c>
      <c r="I646" s="3">
        <v>11464</v>
      </c>
      <c r="J646" s="10">
        <v>0</v>
      </c>
      <c r="K646" s="2">
        <v>114640</v>
      </c>
      <c r="L646" s="2">
        <f>Raw_Sales_Data3[[#This Row],[Quantity]]*Raw_Sales_Data3[[#This Row],[Unit Price]]*(Raw_Sales_Data3[[#This Row],[Discount %]]/100)</f>
        <v>0</v>
      </c>
      <c r="M646" t="str">
        <f>IF(COUNTIF(Raw_Sales_Data3[Order ID],Raw_Sales_Data3[[#This Row],[Order ID]])&gt;1,"Duplicate Order ID","Unique Order ID")</f>
        <v>Duplicate Order ID</v>
      </c>
    </row>
    <row r="647" spans="1:13" x14ac:dyDescent="0.3">
      <c r="A647" t="s">
        <v>691</v>
      </c>
      <c r="B647" s="1"/>
      <c r="C647" t="s">
        <v>36</v>
      </c>
      <c r="D647" t="s">
        <v>70</v>
      </c>
      <c r="E647" t="s">
        <v>28</v>
      </c>
      <c r="F647" t="s">
        <v>19</v>
      </c>
      <c r="G647" t="s">
        <v>59</v>
      </c>
      <c r="H647" s="5">
        <v>2</v>
      </c>
      <c r="I647" s="3">
        <v>39190</v>
      </c>
      <c r="J647" s="10">
        <v>0</v>
      </c>
      <c r="K647" s="2">
        <v>78380</v>
      </c>
      <c r="L647" s="2">
        <f>Raw_Sales_Data3[[#This Row],[Quantity]]*Raw_Sales_Data3[[#This Row],[Unit Price]]*(Raw_Sales_Data3[[#This Row],[Discount %]]/100)</f>
        <v>0</v>
      </c>
      <c r="M647" t="str">
        <f>IF(COUNTIF(Raw_Sales_Data3[Order ID],Raw_Sales_Data3[[#This Row],[Order ID]])&gt;1,"Duplicate Order ID","Unique Order ID")</f>
        <v>Unique Order ID</v>
      </c>
    </row>
    <row r="648" spans="1:13" x14ac:dyDescent="0.3">
      <c r="A648" t="s">
        <v>692</v>
      </c>
      <c r="B648" s="1">
        <v>46104</v>
      </c>
      <c r="C648" t="s">
        <v>89</v>
      </c>
      <c r="D648" t="s">
        <v>43</v>
      </c>
      <c r="E648" t="s">
        <v>13</v>
      </c>
      <c r="F648" t="s">
        <v>14</v>
      </c>
      <c r="G648" t="s">
        <v>156</v>
      </c>
      <c r="H648" s="5">
        <v>10</v>
      </c>
      <c r="I648" s="3">
        <v>21992</v>
      </c>
      <c r="J648" s="10">
        <v>20</v>
      </c>
      <c r="K648" s="2">
        <v>175936</v>
      </c>
      <c r="L648" s="2">
        <f>Raw_Sales_Data3[[#This Row],[Quantity]]*Raw_Sales_Data3[[#This Row],[Unit Price]]*(Raw_Sales_Data3[[#This Row],[Discount %]]/100)</f>
        <v>43984</v>
      </c>
      <c r="M648" t="str">
        <f>IF(COUNTIF(Raw_Sales_Data3[Order ID],Raw_Sales_Data3[[#This Row],[Order ID]])&gt;1,"Duplicate Order ID","Unique Order ID")</f>
        <v>Unique Order ID</v>
      </c>
    </row>
    <row r="649" spans="1:13" x14ac:dyDescent="0.3">
      <c r="A649" t="s">
        <v>693</v>
      </c>
      <c r="B649" s="1">
        <v>46055</v>
      </c>
      <c r="C649" t="s">
        <v>42</v>
      </c>
      <c r="D649" t="s">
        <v>70</v>
      </c>
      <c r="E649" t="s">
        <v>13</v>
      </c>
      <c r="F649" t="s">
        <v>24</v>
      </c>
      <c r="G649" t="s">
        <v>25</v>
      </c>
      <c r="H649" s="5">
        <v>1</v>
      </c>
      <c r="I649" s="3">
        <v>15842</v>
      </c>
      <c r="J649" s="10">
        <v>15</v>
      </c>
      <c r="K649" s="2">
        <v>13465.7</v>
      </c>
      <c r="L649" s="2">
        <f>Raw_Sales_Data3[[#This Row],[Quantity]]*Raw_Sales_Data3[[#This Row],[Unit Price]]*(Raw_Sales_Data3[[#This Row],[Discount %]]/100)</f>
        <v>2376.2999999999997</v>
      </c>
      <c r="M649" t="str">
        <f>IF(COUNTIF(Raw_Sales_Data3[Order ID],Raw_Sales_Data3[[#This Row],[Order ID]])&gt;1,"Duplicate Order ID","Unique Order ID")</f>
        <v>Unique Order ID</v>
      </c>
    </row>
    <row r="650" spans="1:13" x14ac:dyDescent="0.3">
      <c r="A650" t="s">
        <v>694</v>
      </c>
      <c r="B650" s="1">
        <v>46036</v>
      </c>
      <c r="C650" t="s">
        <v>12</v>
      </c>
      <c r="D650" t="s">
        <v>58</v>
      </c>
      <c r="E650" t="s">
        <v>13</v>
      </c>
      <c r="F650" t="s">
        <v>19</v>
      </c>
      <c r="G650" t="s">
        <v>59</v>
      </c>
      <c r="H650" s="5">
        <v>8</v>
      </c>
      <c r="I650" s="3">
        <v>55341</v>
      </c>
      <c r="J650" s="10">
        <v>20</v>
      </c>
      <c r="K650" s="2">
        <v>354182.40000000002</v>
      </c>
      <c r="L650" s="2">
        <f>Raw_Sales_Data3[[#This Row],[Quantity]]*Raw_Sales_Data3[[#This Row],[Unit Price]]*(Raw_Sales_Data3[[#This Row],[Discount %]]/100)</f>
        <v>88545.600000000006</v>
      </c>
      <c r="M650" t="str">
        <f>IF(COUNTIF(Raw_Sales_Data3[Order ID],Raw_Sales_Data3[[#This Row],[Order ID]])&gt;1,"Duplicate Order ID","Unique Order ID")</f>
        <v>Unique Order ID</v>
      </c>
    </row>
    <row r="651" spans="1:13" x14ac:dyDescent="0.3">
      <c r="A651" t="s">
        <v>695</v>
      </c>
      <c r="B651" s="1">
        <v>46059</v>
      </c>
      <c r="C651" t="s">
        <v>89</v>
      </c>
      <c r="D651" t="s">
        <v>23</v>
      </c>
      <c r="E651" t="s">
        <v>28</v>
      </c>
      <c r="F651" t="s">
        <v>24</v>
      </c>
      <c r="G651" t="s">
        <v>25</v>
      </c>
      <c r="H651" s="5">
        <v>9</v>
      </c>
      <c r="I651" s="3">
        <v>41272</v>
      </c>
      <c r="J651" s="10">
        <v>10</v>
      </c>
      <c r="K651" s="2">
        <v>334303.2</v>
      </c>
      <c r="L651" s="2">
        <f>Raw_Sales_Data3[[#This Row],[Quantity]]*Raw_Sales_Data3[[#This Row],[Unit Price]]*(Raw_Sales_Data3[[#This Row],[Discount %]]/100)</f>
        <v>37144.800000000003</v>
      </c>
      <c r="M651" t="str">
        <f>IF(COUNTIF(Raw_Sales_Data3[Order ID],Raw_Sales_Data3[[#This Row],[Order ID]])&gt;1,"Duplicate Order ID","Unique Order ID")</f>
        <v>Unique Order ID</v>
      </c>
    </row>
    <row r="652" spans="1:13" x14ac:dyDescent="0.3">
      <c r="A652" t="s">
        <v>696</v>
      </c>
      <c r="B652" s="1">
        <v>46068</v>
      </c>
      <c r="C652" t="s">
        <v>50</v>
      </c>
      <c r="D652" t="s">
        <v>23</v>
      </c>
      <c r="E652" t="s">
        <v>13</v>
      </c>
      <c r="F652" t="s">
        <v>19</v>
      </c>
      <c r="G652" t="s">
        <v>117</v>
      </c>
      <c r="H652" s="5">
        <v>2</v>
      </c>
      <c r="I652" s="3">
        <v>12693</v>
      </c>
      <c r="J652" s="10">
        <v>10</v>
      </c>
      <c r="K652" s="2">
        <v>22847.4</v>
      </c>
      <c r="L652" s="2">
        <f>Raw_Sales_Data3[[#This Row],[Quantity]]*Raw_Sales_Data3[[#This Row],[Unit Price]]*(Raw_Sales_Data3[[#This Row],[Discount %]]/100)</f>
        <v>2538.6000000000004</v>
      </c>
      <c r="M652" t="str">
        <f>IF(COUNTIF(Raw_Sales_Data3[Order ID],Raw_Sales_Data3[[#This Row],[Order ID]])&gt;1,"Duplicate Order ID","Unique Order ID")</f>
        <v>Unique Order ID</v>
      </c>
    </row>
    <row r="653" spans="1:13" x14ac:dyDescent="0.3">
      <c r="A653" t="s">
        <v>697</v>
      </c>
      <c r="B653" s="1">
        <v>46096</v>
      </c>
      <c r="C653" t="s">
        <v>48</v>
      </c>
      <c r="D653" t="s">
        <v>43</v>
      </c>
      <c r="E653" t="s">
        <v>34</v>
      </c>
      <c r="F653" t="s">
        <v>24</v>
      </c>
      <c r="G653" t="s">
        <v>71</v>
      </c>
      <c r="H653" s="5">
        <v>9</v>
      </c>
      <c r="I653" s="3">
        <v>47787</v>
      </c>
      <c r="J653" s="10">
        <v>0</v>
      </c>
      <c r="K653" s="2">
        <v>430083</v>
      </c>
      <c r="L653" s="2">
        <f>Raw_Sales_Data3[[#This Row],[Quantity]]*Raw_Sales_Data3[[#This Row],[Unit Price]]*(Raw_Sales_Data3[[#This Row],[Discount %]]/100)</f>
        <v>0</v>
      </c>
      <c r="M653" t="str">
        <f>IF(COUNTIF(Raw_Sales_Data3[Order ID],Raw_Sales_Data3[[#This Row],[Order ID]])&gt;1,"Duplicate Order ID","Unique Order ID")</f>
        <v>Unique Order ID</v>
      </c>
    </row>
    <row r="654" spans="1:13" x14ac:dyDescent="0.3">
      <c r="A654" t="s">
        <v>698</v>
      </c>
      <c r="B654" s="1">
        <v>46056</v>
      </c>
      <c r="C654" t="s">
        <v>123</v>
      </c>
      <c r="D654" t="s">
        <v>70</v>
      </c>
      <c r="E654" t="s">
        <v>13</v>
      </c>
      <c r="F654" t="s">
        <v>19</v>
      </c>
      <c r="G654" t="s">
        <v>31</v>
      </c>
      <c r="H654" s="5">
        <v>4</v>
      </c>
      <c r="I654" s="3">
        <v>58800</v>
      </c>
      <c r="J654" s="10">
        <v>0</v>
      </c>
      <c r="K654" s="2">
        <v>235200</v>
      </c>
      <c r="L654" s="2">
        <f>Raw_Sales_Data3[[#This Row],[Quantity]]*Raw_Sales_Data3[[#This Row],[Unit Price]]*(Raw_Sales_Data3[[#This Row],[Discount %]]/100)</f>
        <v>0</v>
      </c>
      <c r="M654" t="str">
        <f>IF(COUNTIF(Raw_Sales_Data3[Order ID],Raw_Sales_Data3[[#This Row],[Order ID]])&gt;1,"Duplicate Order ID","Unique Order ID")</f>
        <v>Unique Order ID</v>
      </c>
    </row>
    <row r="655" spans="1:13" x14ac:dyDescent="0.3">
      <c r="A655" t="s">
        <v>699</v>
      </c>
      <c r="B655" s="1">
        <v>46076</v>
      </c>
      <c r="C655" t="s">
        <v>123</v>
      </c>
      <c r="D655" t="s">
        <v>70</v>
      </c>
      <c r="E655" t="s">
        <v>28</v>
      </c>
      <c r="F655" t="s">
        <v>14</v>
      </c>
      <c r="G655" t="s">
        <v>103</v>
      </c>
      <c r="H655" s="5">
        <v>6</v>
      </c>
      <c r="I655" s="3">
        <v>39649</v>
      </c>
      <c r="J655" s="10">
        <v>5</v>
      </c>
      <c r="K655" s="2">
        <v>225999.3</v>
      </c>
      <c r="L655" s="2">
        <f>Raw_Sales_Data3[[#This Row],[Quantity]]*Raw_Sales_Data3[[#This Row],[Unit Price]]*(Raw_Sales_Data3[[#This Row],[Discount %]]/100)</f>
        <v>11894.7</v>
      </c>
      <c r="M655" t="str">
        <f>IF(COUNTIF(Raw_Sales_Data3[Order ID],Raw_Sales_Data3[[#This Row],[Order ID]])&gt;1,"Duplicate Order ID","Unique Order ID")</f>
        <v>Unique Order ID</v>
      </c>
    </row>
    <row r="656" spans="1:13" x14ac:dyDescent="0.3">
      <c r="A656" t="s">
        <v>700</v>
      </c>
      <c r="B656" s="1">
        <v>46036</v>
      </c>
      <c r="C656" t="s">
        <v>38</v>
      </c>
      <c r="D656" t="s">
        <v>70</v>
      </c>
      <c r="E656" t="s">
        <v>34</v>
      </c>
      <c r="F656" t="s">
        <v>24</v>
      </c>
      <c r="G656" t="s">
        <v>55</v>
      </c>
      <c r="H656" s="5">
        <v>15</v>
      </c>
      <c r="I656" s="3">
        <v>8042</v>
      </c>
      <c r="J656" s="10">
        <v>0</v>
      </c>
      <c r="K656" s="2">
        <v>120630</v>
      </c>
      <c r="L656" s="2">
        <f>Raw_Sales_Data3[[#This Row],[Quantity]]*Raw_Sales_Data3[[#This Row],[Unit Price]]*(Raw_Sales_Data3[[#This Row],[Discount %]]/100)</f>
        <v>0</v>
      </c>
      <c r="M656" t="str">
        <f>IF(COUNTIF(Raw_Sales_Data3[Order ID],Raw_Sales_Data3[[#This Row],[Order ID]])&gt;1,"Duplicate Order ID","Unique Order ID")</f>
        <v>Unique Order ID</v>
      </c>
    </row>
    <row r="657" spans="1:13" x14ac:dyDescent="0.3">
      <c r="A657" t="s">
        <v>701</v>
      </c>
      <c r="B657" s="1">
        <v>46024</v>
      </c>
      <c r="C657" t="s">
        <v>50</v>
      </c>
      <c r="D657" t="s">
        <v>58</v>
      </c>
      <c r="E657" t="s">
        <v>18</v>
      </c>
      <c r="F657" t="s">
        <v>24</v>
      </c>
      <c r="G657" t="s">
        <v>29</v>
      </c>
      <c r="H657" s="5">
        <v>12</v>
      </c>
      <c r="I657" s="3">
        <v>58862</v>
      </c>
      <c r="J657" s="10">
        <v>5</v>
      </c>
      <c r="K657" s="2">
        <v>671026.80000000005</v>
      </c>
      <c r="L657" s="2">
        <f>Raw_Sales_Data3[[#This Row],[Quantity]]*Raw_Sales_Data3[[#This Row],[Unit Price]]*(Raw_Sales_Data3[[#This Row],[Discount %]]/100)</f>
        <v>35317.200000000004</v>
      </c>
      <c r="M657" t="str">
        <f>IF(COUNTIF(Raw_Sales_Data3[Order ID],Raw_Sales_Data3[[#This Row],[Order ID]])&gt;1,"Duplicate Order ID","Unique Order ID")</f>
        <v>Unique Order ID</v>
      </c>
    </row>
    <row r="658" spans="1:13" x14ac:dyDescent="0.3">
      <c r="A658" t="s">
        <v>702</v>
      </c>
      <c r="B658" s="1">
        <v>46112</v>
      </c>
      <c r="C658" t="s">
        <v>38</v>
      </c>
      <c r="D658" t="s">
        <v>58</v>
      </c>
      <c r="E658" t="s">
        <v>13</v>
      </c>
      <c r="F658" t="s">
        <v>24</v>
      </c>
      <c r="G658" t="s">
        <v>29</v>
      </c>
      <c r="H658" s="5">
        <v>9</v>
      </c>
      <c r="I658" s="3">
        <v>26459</v>
      </c>
      <c r="J658" s="10">
        <v>0</v>
      </c>
      <c r="K658" s="2">
        <v>238131</v>
      </c>
      <c r="L658" s="2">
        <f>Raw_Sales_Data3[[#This Row],[Quantity]]*Raw_Sales_Data3[[#This Row],[Unit Price]]*(Raw_Sales_Data3[[#This Row],[Discount %]]/100)</f>
        <v>0</v>
      </c>
      <c r="M658" t="str">
        <f>IF(COUNTIF(Raw_Sales_Data3[Order ID],Raw_Sales_Data3[[#This Row],[Order ID]])&gt;1,"Duplicate Order ID","Unique Order ID")</f>
        <v>Unique Order ID</v>
      </c>
    </row>
    <row r="659" spans="1:13" x14ac:dyDescent="0.3">
      <c r="A659" t="s">
        <v>703</v>
      </c>
      <c r="B659" s="1">
        <v>46032</v>
      </c>
      <c r="C659" t="s">
        <v>17</v>
      </c>
      <c r="D659" t="s">
        <v>58</v>
      </c>
      <c r="E659" t="s">
        <v>13</v>
      </c>
      <c r="F659" t="s">
        <v>19</v>
      </c>
      <c r="G659" t="s">
        <v>31</v>
      </c>
      <c r="H659" s="5">
        <v>11</v>
      </c>
      <c r="I659" s="3">
        <v>24986</v>
      </c>
      <c r="J659" s="10">
        <v>0</v>
      </c>
      <c r="K659" s="2">
        <v>274846</v>
      </c>
      <c r="L659" s="2">
        <f>Raw_Sales_Data3[[#This Row],[Quantity]]*Raw_Sales_Data3[[#This Row],[Unit Price]]*(Raw_Sales_Data3[[#This Row],[Discount %]]/100)</f>
        <v>0</v>
      </c>
      <c r="M659" t="str">
        <f>IF(COUNTIF(Raw_Sales_Data3[Order ID],Raw_Sales_Data3[[#This Row],[Order ID]])&gt;1,"Duplicate Order ID","Unique Order ID")</f>
        <v>Unique Order ID</v>
      </c>
    </row>
    <row r="660" spans="1:13" x14ac:dyDescent="0.3">
      <c r="A660" t="s">
        <v>704</v>
      </c>
      <c r="B660" s="1">
        <v>46086</v>
      </c>
      <c r="C660" t="s">
        <v>12</v>
      </c>
      <c r="D660" t="s">
        <v>70</v>
      </c>
      <c r="E660" t="s">
        <v>28</v>
      </c>
      <c r="F660" t="s">
        <v>19</v>
      </c>
      <c r="G660" t="s">
        <v>79</v>
      </c>
      <c r="H660" s="5">
        <v>6</v>
      </c>
      <c r="I660" s="3">
        <v>59603</v>
      </c>
      <c r="J660" s="10">
        <v>0</v>
      </c>
      <c r="K660" s="2">
        <v>357618</v>
      </c>
      <c r="L660" s="2">
        <f>Raw_Sales_Data3[[#This Row],[Quantity]]*Raw_Sales_Data3[[#This Row],[Unit Price]]*(Raw_Sales_Data3[[#This Row],[Discount %]]/100)</f>
        <v>0</v>
      </c>
      <c r="M660" t="str">
        <f>IF(COUNTIF(Raw_Sales_Data3[Order ID],Raw_Sales_Data3[[#This Row],[Order ID]])&gt;1,"Duplicate Order ID","Unique Order ID")</f>
        <v>Unique Order ID</v>
      </c>
    </row>
    <row r="661" spans="1:13" x14ac:dyDescent="0.3">
      <c r="A661" t="s">
        <v>705</v>
      </c>
      <c r="B661" s="1">
        <v>46026</v>
      </c>
      <c r="C661" t="s">
        <v>45</v>
      </c>
      <c r="D661" t="s">
        <v>43</v>
      </c>
      <c r="E661" t="s">
        <v>18</v>
      </c>
      <c r="F661" t="s">
        <v>24</v>
      </c>
      <c r="G661" t="s">
        <v>71</v>
      </c>
      <c r="H661" s="5">
        <v>9</v>
      </c>
      <c r="I661" s="3">
        <v>9142</v>
      </c>
      <c r="J661" s="10">
        <v>10</v>
      </c>
      <c r="K661" s="2">
        <v>74050.2</v>
      </c>
      <c r="L661" s="2">
        <f>Raw_Sales_Data3[[#This Row],[Quantity]]*Raw_Sales_Data3[[#This Row],[Unit Price]]*(Raw_Sales_Data3[[#This Row],[Discount %]]/100)</f>
        <v>8227.8000000000011</v>
      </c>
      <c r="M661" t="str">
        <f>IF(COUNTIF(Raw_Sales_Data3[Order ID],Raw_Sales_Data3[[#This Row],[Order ID]])&gt;1,"Duplicate Order ID","Unique Order ID")</f>
        <v>Unique Order ID</v>
      </c>
    </row>
    <row r="662" spans="1:13" x14ac:dyDescent="0.3">
      <c r="A662" t="s">
        <v>706</v>
      </c>
      <c r="B662" s="1">
        <v>46054</v>
      </c>
      <c r="C662" t="s">
        <v>12</v>
      </c>
      <c r="D662" t="s">
        <v>58</v>
      </c>
      <c r="E662" t="s">
        <v>28</v>
      </c>
      <c r="F662" t="s">
        <v>19</v>
      </c>
      <c r="G662" t="s">
        <v>20</v>
      </c>
      <c r="H662" s="5">
        <v>9</v>
      </c>
      <c r="I662" s="3">
        <f>K662/H662</f>
        <v>19693</v>
      </c>
      <c r="J662" s="10">
        <v>0</v>
      </c>
      <c r="K662" s="2">
        <v>177237</v>
      </c>
      <c r="L662" s="2">
        <f>Raw_Sales_Data3[[#This Row],[Quantity]]*Raw_Sales_Data3[[#This Row],[Unit Price]]*(Raw_Sales_Data3[[#This Row],[Discount %]]/100)</f>
        <v>0</v>
      </c>
      <c r="M662" t="str">
        <f>IF(COUNTIF(Raw_Sales_Data3[Order ID],Raw_Sales_Data3[[#This Row],[Order ID]])&gt;1,"Duplicate Order ID","Unique Order ID")</f>
        <v>Unique Order ID</v>
      </c>
    </row>
    <row r="663" spans="1:13" x14ac:dyDescent="0.3">
      <c r="A663" t="s">
        <v>707</v>
      </c>
      <c r="B663" s="1">
        <v>46025</v>
      </c>
      <c r="C663" t="s">
        <v>89</v>
      </c>
      <c r="D663" t="s">
        <v>23</v>
      </c>
      <c r="E663" t="s">
        <v>13</v>
      </c>
      <c r="F663" t="s">
        <v>24</v>
      </c>
      <c r="G663" t="s">
        <v>53</v>
      </c>
      <c r="H663" s="5">
        <v>14</v>
      </c>
      <c r="I663" s="3">
        <v>5638</v>
      </c>
      <c r="J663" s="10">
        <v>0</v>
      </c>
      <c r="K663" s="2">
        <v>78932</v>
      </c>
      <c r="L663" s="2">
        <f>Raw_Sales_Data3[[#This Row],[Quantity]]*Raw_Sales_Data3[[#This Row],[Unit Price]]*(Raw_Sales_Data3[[#This Row],[Discount %]]/100)</f>
        <v>0</v>
      </c>
      <c r="M663" t="str">
        <f>IF(COUNTIF(Raw_Sales_Data3[Order ID],Raw_Sales_Data3[[#This Row],[Order ID]])&gt;1,"Duplicate Order ID","Unique Order ID")</f>
        <v>Unique Order ID</v>
      </c>
    </row>
    <row r="664" spans="1:13" x14ac:dyDescent="0.3">
      <c r="A664" t="s">
        <v>708</v>
      </c>
      <c r="B664" s="1">
        <v>46106</v>
      </c>
      <c r="C664" t="s">
        <v>89</v>
      </c>
      <c r="D664" t="s">
        <v>58</v>
      </c>
      <c r="E664" t="s">
        <v>34</v>
      </c>
      <c r="F664" t="s">
        <v>14</v>
      </c>
      <c r="G664" t="s">
        <v>15</v>
      </c>
      <c r="H664" s="5">
        <v>3</v>
      </c>
      <c r="I664" s="3">
        <v>20198</v>
      </c>
      <c r="J664" s="10">
        <v>15</v>
      </c>
      <c r="K664" s="2">
        <v>51504.9</v>
      </c>
      <c r="L664" s="2">
        <f>Raw_Sales_Data3[[#This Row],[Quantity]]*Raw_Sales_Data3[[#This Row],[Unit Price]]*(Raw_Sales_Data3[[#This Row],[Discount %]]/100)</f>
        <v>9089.1</v>
      </c>
      <c r="M664" t="str">
        <f>IF(COUNTIF(Raw_Sales_Data3[Order ID],Raw_Sales_Data3[[#This Row],[Order ID]])&gt;1,"Duplicate Order ID","Unique Order ID")</f>
        <v>Unique Order ID</v>
      </c>
    </row>
    <row r="665" spans="1:13" x14ac:dyDescent="0.3">
      <c r="A665" t="s">
        <v>709</v>
      </c>
      <c r="B665" s="1">
        <v>46091</v>
      </c>
      <c r="C665" t="s">
        <v>38</v>
      </c>
      <c r="D665" t="s">
        <v>58</v>
      </c>
      <c r="E665" t="s">
        <v>18</v>
      </c>
      <c r="F665" t="s">
        <v>19</v>
      </c>
      <c r="G665" t="s">
        <v>79</v>
      </c>
      <c r="H665" s="5">
        <v>6</v>
      </c>
      <c r="I665" s="3">
        <v>4385</v>
      </c>
      <c r="J665" s="10">
        <v>0</v>
      </c>
      <c r="K665" s="2">
        <v>26310</v>
      </c>
      <c r="L665" s="2">
        <f>Raw_Sales_Data3[[#This Row],[Quantity]]*Raw_Sales_Data3[[#This Row],[Unit Price]]*(Raw_Sales_Data3[[#This Row],[Discount %]]/100)</f>
        <v>0</v>
      </c>
      <c r="M665" t="str">
        <f>IF(COUNTIF(Raw_Sales_Data3[Order ID],Raw_Sales_Data3[[#This Row],[Order ID]])&gt;1,"Duplicate Order ID","Unique Order ID")</f>
        <v>Unique Order ID</v>
      </c>
    </row>
    <row r="666" spans="1:13" x14ac:dyDescent="0.3">
      <c r="A666" t="s">
        <v>710</v>
      </c>
      <c r="B666" s="1">
        <v>46103</v>
      </c>
      <c r="C666" t="s">
        <v>27</v>
      </c>
      <c r="D666" t="s">
        <v>23</v>
      </c>
      <c r="E666" t="s">
        <v>18</v>
      </c>
      <c r="F666" t="s">
        <v>19</v>
      </c>
      <c r="G666" t="s">
        <v>120</v>
      </c>
      <c r="H666" s="5">
        <v>14</v>
      </c>
      <c r="I666" s="3">
        <v>9372</v>
      </c>
      <c r="J666" s="10">
        <v>0</v>
      </c>
      <c r="K666" s="2">
        <v>131208</v>
      </c>
      <c r="L666" s="2">
        <f>Raw_Sales_Data3[[#This Row],[Quantity]]*Raw_Sales_Data3[[#This Row],[Unit Price]]*(Raw_Sales_Data3[[#This Row],[Discount %]]/100)</f>
        <v>0</v>
      </c>
      <c r="M666" t="str">
        <f>IF(COUNTIF(Raw_Sales_Data3[Order ID],Raw_Sales_Data3[[#This Row],[Order ID]])&gt;1,"Duplicate Order ID","Unique Order ID")</f>
        <v>Unique Order ID</v>
      </c>
    </row>
    <row r="667" spans="1:13" x14ac:dyDescent="0.3">
      <c r="A667" t="s">
        <v>711</v>
      </c>
      <c r="B667" s="1">
        <v>46097</v>
      </c>
      <c r="C667" t="s">
        <v>64</v>
      </c>
      <c r="D667" t="s">
        <v>43</v>
      </c>
      <c r="E667" t="s">
        <v>34</v>
      </c>
      <c r="F667" t="s">
        <v>19</v>
      </c>
      <c r="G667" t="s">
        <v>40</v>
      </c>
      <c r="H667" s="5">
        <v>6</v>
      </c>
      <c r="I667" s="3">
        <v>21363</v>
      </c>
      <c r="J667" s="10">
        <v>20</v>
      </c>
      <c r="K667" s="2">
        <v>102542.39999999999</v>
      </c>
      <c r="L667" s="2">
        <f>Raw_Sales_Data3[[#This Row],[Quantity]]*Raw_Sales_Data3[[#This Row],[Unit Price]]*(Raw_Sales_Data3[[#This Row],[Discount %]]/100)</f>
        <v>25635.600000000002</v>
      </c>
      <c r="M667" t="str">
        <f>IF(COUNTIF(Raw_Sales_Data3[Order ID],Raw_Sales_Data3[[#This Row],[Order ID]])&gt;1,"Duplicate Order ID","Unique Order ID")</f>
        <v>Unique Order ID</v>
      </c>
    </row>
    <row r="668" spans="1:13" x14ac:dyDescent="0.3">
      <c r="A668" t="s">
        <v>712</v>
      </c>
      <c r="B668" s="1">
        <v>46031</v>
      </c>
      <c r="C668" t="s">
        <v>57</v>
      </c>
      <c r="D668" t="s">
        <v>43</v>
      </c>
      <c r="E668" t="s">
        <v>39</v>
      </c>
      <c r="F668" t="s">
        <v>24</v>
      </c>
      <c r="G668" t="s">
        <v>55</v>
      </c>
      <c r="H668" s="5">
        <v>6</v>
      </c>
      <c r="I668" s="3">
        <v>7740</v>
      </c>
      <c r="J668" s="10">
        <v>15</v>
      </c>
      <c r="K668" s="2">
        <v>39474</v>
      </c>
      <c r="L668" s="2">
        <f>Raw_Sales_Data3[[#This Row],[Quantity]]*Raw_Sales_Data3[[#This Row],[Unit Price]]*(Raw_Sales_Data3[[#This Row],[Discount %]]/100)</f>
        <v>6966</v>
      </c>
      <c r="M668" t="str">
        <f>IF(COUNTIF(Raw_Sales_Data3[Order ID],Raw_Sales_Data3[[#This Row],[Order ID]])&gt;1,"Duplicate Order ID","Unique Order ID")</f>
        <v>Unique Order ID</v>
      </c>
    </row>
    <row r="669" spans="1:13" x14ac:dyDescent="0.3">
      <c r="A669" t="s">
        <v>713</v>
      </c>
      <c r="B669" s="1">
        <v>46100</v>
      </c>
      <c r="C669" t="s">
        <v>62</v>
      </c>
      <c r="D669" t="s">
        <v>43</v>
      </c>
      <c r="E669" t="s">
        <v>13</v>
      </c>
      <c r="F669" t="s">
        <v>24</v>
      </c>
      <c r="G669" t="s">
        <v>53</v>
      </c>
      <c r="H669" s="5">
        <v>10</v>
      </c>
      <c r="I669" s="3">
        <v>24346</v>
      </c>
      <c r="J669" s="10">
        <v>0</v>
      </c>
      <c r="K669" s="2">
        <v>243460</v>
      </c>
      <c r="L669" s="2">
        <f>Raw_Sales_Data3[[#This Row],[Quantity]]*Raw_Sales_Data3[[#This Row],[Unit Price]]*(Raw_Sales_Data3[[#This Row],[Discount %]]/100)</f>
        <v>0</v>
      </c>
      <c r="M669" t="str">
        <f>IF(COUNTIF(Raw_Sales_Data3[Order ID],Raw_Sales_Data3[[#This Row],[Order ID]])&gt;1,"Duplicate Order ID","Unique Order ID")</f>
        <v>Unique Order ID</v>
      </c>
    </row>
    <row r="670" spans="1:13" x14ac:dyDescent="0.3">
      <c r="A670" t="s">
        <v>714</v>
      </c>
      <c r="B670" s="1">
        <v>46065</v>
      </c>
      <c r="C670" t="s">
        <v>42</v>
      </c>
      <c r="D670" t="s">
        <v>23</v>
      </c>
      <c r="E670" t="s">
        <v>34</v>
      </c>
      <c r="F670" t="s">
        <v>19</v>
      </c>
      <c r="G670" t="s">
        <v>1038</v>
      </c>
      <c r="H670" s="5">
        <v>12</v>
      </c>
      <c r="I670" s="3">
        <v>18049</v>
      </c>
      <c r="J670" s="10">
        <v>15</v>
      </c>
      <c r="K670" s="2">
        <v>184099.8</v>
      </c>
      <c r="L670" s="2">
        <f>Raw_Sales_Data3[[#This Row],[Quantity]]*Raw_Sales_Data3[[#This Row],[Unit Price]]*(Raw_Sales_Data3[[#This Row],[Discount %]]/100)</f>
        <v>32488.199999999997</v>
      </c>
      <c r="M670" t="str">
        <f>IF(COUNTIF(Raw_Sales_Data3[Order ID],Raw_Sales_Data3[[#This Row],[Order ID]])&gt;1,"Duplicate Order ID","Unique Order ID")</f>
        <v>Unique Order ID</v>
      </c>
    </row>
    <row r="671" spans="1:13" x14ac:dyDescent="0.3">
      <c r="A671" t="s">
        <v>715</v>
      </c>
      <c r="B671" s="1">
        <v>46048</v>
      </c>
      <c r="C671" t="s">
        <v>69</v>
      </c>
      <c r="D671" t="s">
        <v>43</v>
      </c>
      <c r="E671" t="s">
        <v>13</v>
      </c>
      <c r="F671" t="s">
        <v>14</v>
      </c>
      <c r="G671" t="s">
        <v>66</v>
      </c>
      <c r="H671" s="5">
        <v>4</v>
      </c>
      <c r="I671" s="3">
        <v>57716</v>
      </c>
      <c r="J671" s="10">
        <v>5</v>
      </c>
      <c r="K671" s="2">
        <v>219320.8</v>
      </c>
      <c r="L671" s="2">
        <f>Raw_Sales_Data3[[#This Row],[Quantity]]*Raw_Sales_Data3[[#This Row],[Unit Price]]*(Raw_Sales_Data3[[#This Row],[Discount %]]/100)</f>
        <v>11543.2</v>
      </c>
      <c r="M671" t="str">
        <f>IF(COUNTIF(Raw_Sales_Data3[Order ID],Raw_Sales_Data3[[#This Row],[Order ID]])&gt;1,"Duplicate Order ID","Unique Order ID")</f>
        <v>Unique Order ID</v>
      </c>
    </row>
    <row r="672" spans="1:13" x14ac:dyDescent="0.3">
      <c r="A672" t="s">
        <v>716</v>
      </c>
      <c r="B672" s="1">
        <v>46065</v>
      </c>
      <c r="C672" t="s">
        <v>57</v>
      </c>
      <c r="D672" t="s">
        <v>70</v>
      </c>
      <c r="E672" t="s">
        <v>28</v>
      </c>
      <c r="F672" t="s">
        <v>24</v>
      </c>
      <c r="G672" t="s">
        <v>71</v>
      </c>
      <c r="H672" s="5">
        <v>5</v>
      </c>
      <c r="I672" s="3">
        <v>16990</v>
      </c>
      <c r="J672" s="10">
        <v>0</v>
      </c>
      <c r="K672" s="2">
        <v>84950</v>
      </c>
      <c r="L672" s="2">
        <f>Raw_Sales_Data3[[#This Row],[Quantity]]*Raw_Sales_Data3[[#This Row],[Unit Price]]*(Raw_Sales_Data3[[#This Row],[Discount %]]/100)</f>
        <v>0</v>
      </c>
      <c r="M672" t="str">
        <f>IF(COUNTIF(Raw_Sales_Data3[Order ID],Raw_Sales_Data3[[#This Row],[Order ID]])&gt;1,"Duplicate Order ID","Unique Order ID")</f>
        <v>Unique Order ID</v>
      </c>
    </row>
    <row r="673" spans="1:13" x14ac:dyDescent="0.3">
      <c r="A673" t="s">
        <v>717</v>
      </c>
      <c r="B673" s="1">
        <v>46033</v>
      </c>
      <c r="C673" t="s">
        <v>12</v>
      </c>
      <c r="D673" t="s">
        <v>58</v>
      </c>
      <c r="E673" t="s">
        <v>18</v>
      </c>
      <c r="F673" t="s">
        <v>19</v>
      </c>
      <c r="G673" t="s">
        <v>31</v>
      </c>
      <c r="H673" s="5">
        <v>1</v>
      </c>
      <c r="I673" s="3">
        <v>51264</v>
      </c>
      <c r="J673" s="10">
        <v>10</v>
      </c>
      <c r="K673" s="2">
        <v>46137.599999999999</v>
      </c>
      <c r="L673" s="2">
        <f>Raw_Sales_Data3[[#This Row],[Quantity]]*Raw_Sales_Data3[[#This Row],[Unit Price]]*(Raw_Sales_Data3[[#This Row],[Discount %]]/100)</f>
        <v>5126.4000000000005</v>
      </c>
      <c r="M673" t="str">
        <f>IF(COUNTIF(Raw_Sales_Data3[Order ID],Raw_Sales_Data3[[#This Row],[Order ID]])&gt;1,"Duplicate Order ID","Unique Order ID")</f>
        <v>Unique Order ID</v>
      </c>
    </row>
    <row r="674" spans="1:13" x14ac:dyDescent="0.3">
      <c r="A674" t="s">
        <v>718</v>
      </c>
      <c r="B674" s="1">
        <v>46105</v>
      </c>
      <c r="C674" t="s">
        <v>22</v>
      </c>
      <c r="D674" t="s">
        <v>70</v>
      </c>
      <c r="E674" t="s">
        <v>39</v>
      </c>
      <c r="F674" t="s">
        <v>24</v>
      </c>
      <c r="G674" t="s">
        <v>55</v>
      </c>
      <c r="H674" s="5">
        <v>7</v>
      </c>
      <c r="I674" s="3">
        <v>50560</v>
      </c>
      <c r="J674" s="10">
        <v>5</v>
      </c>
      <c r="K674" s="2">
        <v>336224</v>
      </c>
      <c r="L674" s="2">
        <f>Raw_Sales_Data3[[#This Row],[Quantity]]*Raw_Sales_Data3[[#This Row],[Unit Price]]*(Raw_Sales_Data3[[#This Row],[Discount %]]/100)</f>
        <v>17696</v>
      </c>
      <c r="M674" t="str">
        <f>IF(COUNTIF(Raw_Sales_Data3[Order ID],Raw_Sales_Data3[[#This Row],[Order ID]])&gt;1,"Duplicate Order ID","Unique Order ID")</f>
        <v>Duplicate Order ID</v>
      </c>
    </row>
    <row r="675" spans="1:13" x14ac:dyDescent="0.3">
      <c r="A675" t="s">
        <v>718</v>
      </c>
      <c r="B675" s="1">
        <v>46102</v>
      </c>
      <c r="C675" t="s">
        <v>45</v>
      </c>
      <c r="D675" t="s">
        <v>23</v>
      </c>
      <c r="E675" t="s">
        <v>28</v>
      </c>
      <c r="F675" t="s">
        <v>19</v>
      </c>
      <c r="G675" t="s">
        <v>59</v>
      </c>
      <c r="H675" s="5">
        <v>3</v>
      </c>
      <c r="I675" s="3">
        <v>6423</v>
      </c>
      <c r="J675" s="10">
        <v>20</v>
      </c>
      <c r="K675" s="2">
        <v>15415.2</v>
      </c>
      <c r="L675" s="2">
        <f>Raw_Sales_Data3[[#This Row],[Quantity]]*Raw_Sales_Data3[[#This Row],[Unit Price]]*(Raw_Sales_Data3[[#This Row],[Discount %]]/100)</f>
        <v>3853.8</v>
      </c>
      <c r="M675" t="str">
        <f>IF(COUNTIF(Raw_Sales_Data3[Order ID],Raw_Sales_Data3[[#This Row],[Order ID]])&gt;1,"Duplicate Order ID","Unique Order ID")</f>
        <v>Duplicate Order ID</v>
      </c>
    </row>
    <row r="676" spans="1:13" x14ac:dyDescent="0.3">
      <c r="A676" t="s">
        <v>719</v>
      </c>
      <c r="B676" s="1">
        <v>46075</v>
      </c>
      <c r="C676" t="s">
        <v>50</v>
      </c>
      <c r="D676" t="s">
        <v>58</v>
      </c>
      <c r="E676" t="s">
        <v>39</v>
      </c>
      <c r="F676" t="s">
        <v>14</v>
      </c>
      <c r="G676" t="s">
        <v>103</v>
      </c>
      <c r="H676" s="5">
        <v>2</v>
      </c>
      <c r="I676" s="3">
        <v>56463</v>
      </c>
      <c r="J676" s="10">
        <v>5</v>
      </c>
      <c r="K676" s="2">
        <v>107279.7</v>
      </c>
      <c r="L676" s="2">
        <f>Raw_Sales_Data3[[#This Row],[Quantity]]*Raw_Sales_Data3[[#This Row],[Unit Price]]*(Raw_Sales_Data3[[#This Row],[Discount %]]/100)</f>
        <v>5646.3</v>
      </c>
      <c r="M676" t="str">
        <f>IF(COUNTIF(Raw_Sales_Data3[Order ID],Raw_Sales_Data3[[#This Row],[Order ID]])&gt;1,"Duplicate Order ID","Unique Order ID")</f>
        <v>Unique Order ID</v>
      </c>
    </row>
    <row r="677" spans="1:13" x14ac:dyDescent="0.3">
      <c r="A677" t="s">
        <v>720</v>
      </c>
      <c r="B677" s="1">
        <v>46055</v>
      </c>
      <c r="C677" t="s">
        <v>48</v>
      </c>
      <c r="D677" t="s">
        <v>58</v>
      </c>
      <c r="E677" t="s">
        <v>39</v>
      </c>
      <c r="F677" t="s">
        <v>14</v>
      </c>
      <c r="G677" t="s">
        <v>103</v>
      </c>
      <c r="H677" s="5">
        <v>15</v>
      </c>
      <c r="I677" s="3">
        <v>20150</v>
      </c>
      <c r="J677" s="10">
        <v>20</v>
      </c>
      <c r="K677" s="2">
        <v>241800</v>
      </c>
      <c r="L677" s="2">
        <f>Raw_Sales_Data3[[#This Row],[Quantity]]*Raw_Sales_Data3[[#This Row],[Unit Price]]*(Raw_Sales_Data3[[#This Row],[Discount %]]/100)</f>
        <v>60450</v>
      </c>
      <c r="M677" t="str">
        <f>IF(COUNTIF(Raw_Sales_Data3[Order ID],Raw_Sales_Data3[[#This Row],[Order ID]])&gt;1,"Duplicate Order ID","Unique Order ID")</f>
        <v>Unique Order ID</v>
      </c>
    </row>
    <row r="678" spans="1:13" x14ac:dyDescent="0.3">
      <c r="A678" t="s">
        <v>721</v>
      </c>
      <c r="B678" s="1"/>
      <c r="C678" t="s">
        <v>48</v>
      </c>
      <c r="D678" t="s">
        <v>58</v>
      </c>
      <c r="E678" t="s">
        <v>28</v>
      </c>
      <c r="F678" t="s">
        <v>24</v>
      </c>
      <c r="G678" t="s">
        <v>55</v>
      </c>
      <c r="H678" s="5">
        <v>10</v>
      </c>
      <c r="I678" s="3">
        <v>7554</v>
      </c>
      <c r="J678" s="10">
        <v>10</v>
      </c>
      <c r="K678" s="2">
        <v>67986</v>
      </c>
      <c r="L678" s="2">
        <f>Raw_Sales_Data3[[#This Row],[Quantity]]*Raw_Sales_Data3[[#This Row],[Unit Price]]*(Raw_Sales_Data3[[#This Row],[Discount %]]/100)</f>
        <v>7554</v>
      </c>
      <c r="M678" t="str">
        <f>IF(COUNTIF(Raw_Sales_Data3[Order ID],Raw_Sales_Data3[[#This Row],[Order ID]])&gt;1,"Duplicate Order ID","Unique Order ID")</f>
        <v>Unique Order ID</v>
      </c>
    </row>
    <row r="679" spans="1:13" x14ac:dyDescent="0.3">
      <c r="A679" t="s">
        <v>722</v>
      </c>
      <c r="B679" s="1">
        <v>46036</v>
      </c>
      <c r="C679" t="s">
        <v>33</v>
      </c>
      <c r="D679" t="s">
        <v>70</v>
      </c>
      <c r="E679" t="s">
        <v>13</v>
      </c>
      <c r="F679" t="s">
        <v>14</v>
      </c>
      <c r="G679" t="s">
        <v>125</v>
      </c>
      <c r="H679" s="5">
        <v>6</v>
      </c>
      <c r="I679" s="3">
        <v>35700</v>
      </c>
      <c r="J679" s="10">
        <v>15</v>
      </c>
      <c r="K679" s="2">
        <v>182070</v>
      </c>
      <c r="L679" s="2">
        <f>Raw_Sales_Data3[[#This Row],[Quantity]]*Raw_Sales_Data3[[#This Row],[Unit Price]]*(Raw_Sales_Data3[[#This Row],[Discount %]]/100)</f>
        <v>32130</v>
      </c>
      <c r="M679" t="str">
        <f>IF(COUNTIF(Raw_Sales_Data3[Order ID],Raw_Sales_Data3[[#This Row],[Order ID]])&gt;1,"Duplicate Order ID","Unique Order ID")</f>
        <v>Unique Order ID</v>
      </c>
    </row>
    <row r="680" spans="1:13" x14ac:dyDescent="0.3">
      <c r="A680" t="s">
        <v>723</v>
      </c>
      <c r="B680" s="1">
        <v>46091</v>
      </c>
      <c r="C680" t="s">
        <v>17</v>
      </c>
      <c r="D680" t="s">
        <v>58</v>
      </c>
      <c r="E680" t="s">
        <v>28</v>
      </c>
      <c r="F680" t="s">
        <v>19</v>
      </c>
      <c r="G680" t="s">
        <v>79</v>
      </c>
      <c r="H680" s="5">
        <v>3</v>
      </c>
      <c r="I680" s="3">
        <v>40349</v>
      </c>
      <c r="J680" s="10">
        <v>5</v>
      </c>
      <c r="K680" s="2">
        <v>114994.65</v>
      </c>
      <c r="L680" s="2">
        <f>Raw_Sales_Data3[[#This Row],[Quantity]]*Raw_Sales_Data3[[#This Row],[Unit Price]]*(Raw_Sales_Data3[[#This Row],[Discount %]]/100)</f>
        <v>6052.35</v>
      </c>
      <c r="M680" t="str">
        <f>IF(COUNTIF(Raw_Sales_Data3[Order ID],Raw_Sales_Data3[[#This Row],[Order ID]])&gt;1,"Duplicate Order ID","Unique Order ID")</f>
        <v>Unique Order ID</v>
      </c>
    </row>
    <row r="681" spans="1:13" x14ac:dyDescent="0.3">
      <c r="A681" t="s">
        <v>724</v>
      </c>
      <c r="B681" s="1"/>
      <c r="C681" t="s">
        <v>48</v>
      </c>
      <c r="D681" t="s">
        <v>70</v>
      </c>
      <c r="E681" t="s">
        <v>13</v>
      </c>
      <c r="F681" t="s">
        <v>19</v>
      </c>
      <c r="G681" t="s">
        <v>79</v>
      </c>
      <c r="H681" s="5">
        <v>6</v>
      </c>
      <c r="I681" s="3">
        <v>26371</v>
      </c>
      <c r="J681" s="10">
        <v>10</v>
      </c>
      <c r="K681" s="2">
        <v>142403.4</v>
      </c>
      <c r="L681" s="2">
        <f>Raw_Sales_Data3[[#This Row],[Quantity]]*Raw_Sales_Data3[[#This Row],[Unit Price]]*(Raw_Sales_Data3[[#This Row],[Discount %]]/100)</f>
        <v>15822.6</v>
      </c>
      <c r="M681" t="str">
        <f>IF(COUNTIF(Raw_Sales_Data3[Order ID],Raw_Sales_Data3[[#This Row],[Order ID]])&gt;1,"Duplicate Order ID","Unique Order ID")</f>
        <v>Unique Order ID</v>
      </c>
    </row>
    <row r="682" spans="1:13" x14ac:dyDescent="0.3">
      <c r="A682" t="s">
        <v>725</v>
      </c>
      <c r="B682" s="1">
        <v>46106</v>
      </c>
      <c r="C682" t="s">
        <v>17</v>
      </c>
      <c r="D682" t="s">
        <v>23</v>
      </c>
      <c r="E682" t="s">
        <v>13</v>
      </c>
      <c r="F682" t="s">
        <v>24</v>
      </c>
      <c r="G682" t="s">
        <v>55</v>
      </c>
      <c r="H682" s="5">
        <v>10</v>
      </c>
      <c r="I682" s="3">
        <v>48090</v>
      </c>
      <c r="J682" s="10">
        <v>5</v>
      </c>
      <c r="K682" s="2">
        <v>456855</v>
      </c>
      <c r="L682" s="2">
        <f>Raw_Sales_Data3[[#This Row],[Quantity]]*Raw_Sales_Data3[[#This Row],[Unit Price]]*(Raw_Sales_Data3[[#This Row],[Discount %]]/100)</f>
        <v>24045</v>
      </c>
      <c r="M682" t="str">
        <f>IF(COUNTIF(Raw_Sales_Data3[Order ID],Raw_Sales_Data3[[#This Row],[Order ID]])&gt;1,"Duplicate Order ID","Unique Order ID")</f>
        <v>Unique Order ID</v>
      </c>
    </row>
    <row r="683" spans="1:13" x14ac:dyDescent="0.3">
      <c r="A683" t="s">
        <v>726</v>
      </c>
      <c r="B683" s="1">
        <v>46032</v>
      </c>
      <c r="C683" t="s">
        <v>45</v>
      </c>
      <c r="D683" t="s">
        <v>43</v>
      </c>
      <c r="E683" t="s">
        <v>13</v>
      </c>
      <c r="F683" t="s">
        <v>14</v>
      </c>
      <c r="G683" t="s">
        <v>15</v>
      </c>
      <c r="H683" s="5">
        <v>2</v>
      </c>
      <c r="I683" s="3">
        <v>31871</v>
      </c>
      <c r="J683" s="10">
        <v>10</v>
      </c>
      <c r="K683" s="2">
        <v>57367.8</v>
      </c>
      <c r="L683" s="2">
        <f>Raw_Sales_Data3[[#This Row],[Quantity]]*Raw_Sales_Data3[[#This Row],[Unit Price]]*(Raw_Sales_Data3[[#This Row],[Discount %]]/100)</f>
        <v>6374.2000000000007</v>
      </c>
      <c r="M683" t="str">
        <f>IF(COUNTIF(Raw_Sales_Data3[Order ID],Raw_Sales_Data3[[#This Row],[Order ID]])&gt;1,"Duplicate Order ID","Unique Order ID")</f>
        <v>Unique Order ID</v>
      </c>
    </row>
    <row r="684" spans="1:13" x14ac:dyDescent="0.3">
      <c r="A684" t="s">
        <v>727</v>
      </c>
      <c r="B684" s="1">
        <v>46040</v>
      </c>
      <c r="C684" t="s">
        <v>89</v>
      </c>
      <c r="D684" t="s">
        <v>58</v>
      </c>
      <c r="E684" t="s">
        <v>28</v>
      </c>
      <c r="F684" t="s">
        <v>14</v>
      </c>
      <c r="G684" t="s">
        <v>66</v>
      </c>
      <c r="H684" s="5">
        <v>14</v>
      </c>
      <c r="I684" s="3">
        <v>42191</v>
      </c>
      <c r="J684" s="10">
        <v>10</v>
      </c>
      <c r="K684" s="2">
        <v>531606.6</v>
      </c>
      <c r="L684" s="2">
        <f>Raw_Sales_Data3[[#This Row],[Quantity]]*Raw_Sales_Data3[[#This Row],[Unit Price]]*(Raw_Sales_Data3[[#This Row],[Discount %]]/100)</f>
        <v>59067.4</v>
      </c>
      <c r="M684" t="str">
        <f>IF(COUNTIF(Raw_Sales_Data3[Order ID],Raw_Sales_Data3[[#This Row],[Order ID]])&gt;1,"Duplicate Order ID","Unique Order ID")</f>
        <v>Unique Order ID</v>
      </c>
    </row>
    <row r="685" spans="1:13" x14ac:dyDescent="0.3">
      <c r="A685" t="s">
        <v>728</v>
      </c>
      <c r="B685" s="1">
        <v>46089</v>
      </c>
      <c r="C685" t="s">
        <v>12</v>
      </c>
      <c r="D685" t="s">
        <v>58</v>
      </c>
      <c r="E685" t="s">
        <v>28</v>
      </c>
      <c r="F685" t="s">
        <v>24</v>
      </c>
      <c r="G685" t="s">
        <v>71</v>
      </c>
      <c r="H685" s="5">
        <v>7</v>
      </c>
      <c r="I685" s="3">
        <v>21614</v>
      </c>
      <c r="J685" s="10">
        <v>10</v>
      </c>
      <c r="K685" s="2">
        <v>136168.20000000001</v>
      </c>
      <c r="L685" s="2">
        <f>Raw_Sales_Data3[[#This Row],[Quantity]]*Raw_Sales_Data3[[#This Row],[Unit Price]]*(Raw_Sales_Data3[[#This Row],[Discount %]]/100)</f>
        <v>15129.800000000001</v>
      </c>
      <c r="M685" t="str">
        <f>IF(COUNTIF(Raw_Sales_Data3[Order ID],Raw_Sales_Data3[[#This Row],[Order ID]])&gt;1,"Duplicate Order ID","Unique Order ID")</f>
        <v>Unique Order ID</v>
      </c>
    </row>
    <row r="686" spans="1:13" x14ac:dyDescent="0.3">
      <c r="A686" t="s">
        <v>729</v>
      </c>
      <c r="B686" s="1">
        <v>46072</v>
      </c>
      <c r="C686" t="s">
        <v>17</v>
      </c>
      <c r="D686" t="s">
        <v>23</v>
      </c>
      <c r="E686" t="s">
        <v>13</v>
      </c>
      <c r="F686" t="s">
        <v>14</v>
      </c>
      <c r="G686" t="s">
        <v>125</v>
      </c>
      <c r="H686" s="5">
        <v>1</v>
      </c>
      <c r="I686" s="3">
        <v>58976</v>
      </c>
      <c r="J686" s="10">
        <v>5</v>
      </c>
      <c r="K686" s="2">
        <v>56027.199999999997</v>
      </c>
      <c r="L686" s="2">
        <f>Raw_Sales_Data3[[#This Row],[Quantity]]*Raw_Sales_Data3[[#This Row],[Unit Price]]*(Raw_Sales_Data3[[#This Row],[Discount %]]/100)</f>
        <v>2948.8</v>
      </c>
      <c r="M686" t="str">
        <f>IF(COUNTIF(Raw_Sales_Data3[Order ID],Raw_Sales_Data3[[#This Row],[Order ID]])&gt;1,"Duplicate Order ID","Unique Order ID")</f>
        <v>Unique Order ID</v>
      </c>
    </row>
    <row r="687" spans="1:13" x14ac:dyDescent="0.3">
      <c r="A687" t="s">
        <v>730</v>
      </c>
      <c r="B687" s="1">
        <v>46050</v>
      </c>
      <c r="C687" t="s">
        <v>22</v>
      </c>
      <c r="D687" t="s">
        <v>70</v>
      </c>
      <c r="E687" t="s">
        <v>34</v>
      </c>
      <c r="F687" t="s">
        <v>14</v>
      </c>
      <c r="G687" t="s">
        <v>125</v>
      </c>
      <c r="H687" s="5">
        <v>1</v>
      </c>
      <c r="I687" s="3">
        <v>15102</v>
      </c>
      <c r="J687" s="10">
        <v>5</v>
      </c>
      <c r="K687" s="2">
        <v>14346.9</v>
      </c>
      <c r="L687" s="2">
        <f>Raw_Sales_Data3[[#This Row],[Quantity]]*Raw_Sales_Data3[[#This Row],[Unit Price]]*(Raw_Sales_Data3[[#This Row],[Discount %]]/100)</f>
        <v>755.1</v>
      </c>
      <c r="M687" t="str">
        <f>IF(COUNTIF(Raw_Sales_Data3[Order ID],Raw_Sales_Data3[[#This Row],[Order ID]])&gt;1,"Duplicate Order ID","Unique Order ID")</f>
        <v>Unique Order ID</v>
      </c>
    </row>
    <row r="688" spans="1:13" x14ac:dyDescent="0.3">
      <c r="A688" t="s">
        <v>731</v>
      </c>
      <c r="B688" s="1">
        <v>46042</v>
      </c>
      <c r="C688" t="s">
        <v>17</v>
      </c>
      <c r="D688" t="s">
        <v>70</v>
      </c>
      <c r="E688" t="s">
        <v>18</v>
      </c>
      <c r="F688" t="s">
        <v>14</v>
      </c>
      <c r="G688" t="s">
        <v>66</v>
      </c>
      <c r="H688" s="5">
        <v>10</v>
      </c>
      <c r="I688" s="3">
        <v>22082</v>
      </c>
      <c r="J688" s="10">
        <v>15</v>
      </c>
      <c r="K688" s="2">
        <v>187697</v>
      </c>
      <c r="L688" s="2">
        <f>Raw_Sales_Data3[[#This Row],[Quantity]]*Raw_Sales_Data3[[#This Row],[Unit Price]]*(Raw_Sales_Data3[[#This Row],[Discount %]]/100)</f>
        <v>33123</v>
      </c>
      <c r="M688" t="str">
        <f>IF(COUNTIF(Raw_Sales_Data3[Order ID],Raw_Sales_Data3[[#This Row],[Order ID]])&gt;1,"Duplicate Order ID","Unique Order ID")</f>
        <v>Unique Order ID</v>
      </c>
    </row>
    <row r="689" spans="1:13" x14ac:dyDescent="0.3">
      <c r="A689" t="s">
        <v>732</v>
      </c>
      <c r="B689" s="1">
        <v>46030</v>
      </c>
      <c r="C689" t="s">
        <v>64</v>
      </c>
      <c r="D689" t="s">
        <v>23</v>
      </c>
      <c r="E689" t="s">
        <v>28</v>
      </c>
      <c r="F689" t="s">
        <v>14</v>
      </c>
      <c r="G689" t="s">
        <v>73</v>
      </c>
      <c r="H689" s="5">
        <v>14</v>
      </c>
      <c r="I689" s="3">
        <v>33496</v>
      </c>
      <c r="J689" s="10">
        <v>10</v>
      </c>
      <c r="K689" s="2">
        <v>422049.6</v>
      </c>
      <c r="L689" s="2">
        <f>Raw_Sales_Data3[[#This Row],[Quantity]]*Raw_Sales_Data3[[#This Row],[Unit Price]]*(Raw_Sales_Data3[[#This Row],[Discount %]]/100)</f>
        <v>46894.400000000001</v>
      </c>
      <c r="M689" t="str">
        <f>IF(COUNTIF(Raw_Sales_Data3[Order ID],Raw_Sales_Data3[[#This Row],[Order ID]])&gt;1,"Duplicate Order ID","Unique Order ID")</f>
        <v>Unique Order ID</v>
      </c>
    </row>
    <row r="690" spans="1:13" x14ac:dyDescent="0.3">
      <c r="A690" t="s">
        <v>733</v>
      </c>
      <c r="B690" s="1">
        <v>46097</v>
      </c>
      <c r="C690" t="s">
        <v>86</v>
      </c>
      <c r="D690" t="s">
        <v>70</v>
      </c>
      <c r="E690" t="s">
        <v>18</v>
      </c>
      <c r="F690" t="s">
        <v>24</v>
      </c>
      <c r="G690" t="s">
        <v>71</v>
      </c>
      <c r="H690" s="5">
        <v>3</v>
      </c>
      <c r="I690" s="3">
        <v>26379</v>
      </c>
      <c r="J690" s="10">
        <v>5</v>
      </c>
      <c r="K690" s="2">
        <v>75180.149999999994</v>
      </c>
      <c r="L690" s="2">
        <f>Raw_Sales_Data3[[#This Row],[Quantity]]*Raw_Sales_Data3[[#This Row],[Unit Price]]*(Raw_Sales_Data3[[#This Row],[Discount %]]/100)</f>
        <v>3956.8500000000004</v>
      </c>
      <c r="M690" t="str">
        <f>IF(COUNTIF(Raw_Sales_Data3[Order ID],Raw_Sales_Data3[[#This Row],[Order ID]])&gt;1,"Duplicate Order ID","Unique Order ID")</f>
        <v>Unique Order ID</v>
      </c>
    </row>
    <row r="691" spans="1:13" x14ac:dyDescent="0.3">
      <c r="A691" t="s">
        <v>734</v>
      </c>
      <c r="B691" s="1">
        <v>46075</v>
      </c>
      <c r="C691" t="s">
        <v>64</v>
      </c>
      <c r="D691" t="s">
        <v>58</v>
      </c>
      <c r="E691" t="s">
        <v>13</v>
      </c>
      <c r="F691" t="s">
        <v>14</v>
      </c>
      <c r="G691" t="s">
        <v>15</v>
      </c>
      <c r="H691" s="5">
        <v>15</v>
      </c>
      <c r="I691" s="3">
        <v>57515</v>
      </c>
      <c r="J691" s="10">
        <v>20</v>
      </c>
      <c r="K691" s="2">
        <v>690180</v>
      </c>
      <c r="L691" s="2">
        <f>Raw_Sales_Data3[[#This Row],[Quantity]]*Raw_Sales_Data3[[#This Row],[Unit Price]]*(Raw_Sales_Data3[[#This Row],[Discount %]]/100)</f>
        <v>172545</v>
      </c>
      <c r="M691" t="str">
        <f>IF(COUNTIF(Raw_Sales_Data3[Order ID],Raw_Sales_Data3[[#This Row],[Order ID]])&gt;1,"Duplicate Order ID","Unique Order ID")</f>
        <v>Unique Order ID</v>
      </c>
    </row>
    <row r="692" spans="1:13" x14ac:dyDescent="0.3">
      <c r="A692" t="s">
        <v>735</v>
      </c>
      <c r="B692" s="1">
        <v>46087</v>
      </c>
      <c r="C692" t="s">
        <v>33</v>
      </c>
      <c r="D692" t="s">
        <v>58</v>
      </c>
      <c r="E692" t="s">
        <v>39</v>
      </c>
      <c r="F692" t="s">
        <v>19</v>
      </c>
      <c r="G692" t="s">
        <v>147</v>
      </c>
      <c r="H692" s="5">
        <v>2</v>
      </c>
      <c r="I692" s="3">
        <v>21726</v>
      </c>
      <c r="J692" s="10">
        <v>5</v>
      </c>
      <c r="K692" s="2">
        <v>41279.4</v>
      </c>
      <c r="L692" s="2">
        <f>Raw_Sales_Data3[[#This Row],[Quantity]]*Raw_Sales_Data3[[#This Row],[Unit Price]]*(Raw_Sales_Data3[[#This Row],[Discount %]]/100)</f>
        <v>2172.6</v>
      </c>
      <c r="M692" t="str">
        <f>IF(COUNTIF(Raw_Sales_Data3[Order ID],Raw_Sales_Data3[[#This Row],[Order ID]])&gt;1,"Duplicate Order ID","Unique Order ID")</f>
        <v>Unique Order ID</v>
      </c>
    </row>
    <row r="693" spans="1:13" x14ac:dyDescent="0.3">
      <c r="A693" t="s">
        <v>736</v>
      </c>
      <c r="B693" s="1">
        <v>46083</v>
      </c>
      <c r="C693" t="s">
        <v>12</v>
      </c>
      <c r="D693" t="s">
        <v>23</v>
      </c>
      <c r="E693" t="s">
        <v>28</v>
      </c>
      <c r="F693" t="s">
        <v>19</v>
      </c>
      <c r="G693" t="s">
        <v>31</v>
      </c>
      <c r="H693" s="5">
        <v>2</v>
      </c>
      <c r="I693" s="3">
        <v>26017</v>
      </c>
      <c r="J693" s="10">
        <v>0</v>
      </c>
      <c r="K693" s="2">
        <v>52034</v>
      </c>
      <c r="L693" s="2">
        <f>Raw_Sales_Data3[[#This Row],[Quantity]]*Raw_Sales_Data3[[#This Row],[Unit Price]]*(Raw_Sales_Data3[[#This Row],[Discount %]]/100)</f>
        <v>0</v>
      </c>
      <c r="M693" t="str">
        <f>IF(COUNTIF(Raw_Sales_Data3[Order ID],Raw_Sales_Data3[[#This Row],[Order ID]])&gt;1,"Duplicate Order ID","Unique Order ID")</f>
        <v>Unique Order ID</v>
      </c>
    </row>
    <row r="694" spans="1:13" x14ac:dyDescent="0.3">
      <c r="A694" t="s">
        <v>737</v>
      </c>
      <c r="B694" s="1">
        <v>46031</v>
      </c>
      <c r="C694" t="s">
        <v>33</v>
      </c>
      <c r="D694" t="s">
        <v>70</v>
      </c>
      <c r="E694" t="s">
        <v>18</v>
      </c>
      <c r="F694" t="s">
        <v>24</v>
      </c>
      <c r="G694" t="s">
        <v>55</v>
      </c>
      <c r="H694" s="5">
        <v>10</v>
      </c>
      <c r="I694" s="3">
        <v>47475</v>
      </c>
      <c r="J694" s="10">
        <v>20</v>
      </c>
      <c r="K694" s="2">
        <v>379800</v>
      </c>
      <c r="L694" s="2">
        <f>Raw_Sales_Data3[[#This Row],[Quantity]]*Raw_Sales_Data3[[#This Row],[Unit Price]]*(Raw_Sales_Data3[[#This Row],[Discount %]]/100)</f>
        <v>94950</v>
      </c>
      <c r="M694" t="str">
        <f>IF(COUNTIF(Raw_Sales_Data3[Order ID],Raw_Sales_Data3[[#This Row],[Order ID]])&gt;1,"Duplicate Order ID","Unique Order ID")</f>
        <v>Unique Order ID</v>
      </c>
    </row>
    <row r="695" spans="1:13" x14ac:dyDescent="0.3">
      <c r="A695" t="s">
        <v>738</v>
      </c>
      <c r="B695" s="1">
        <v>46062</v>
      </c>
      <c r="C695" t="s">
        <v>12</v>
      </c>
      <c r="D695" t="s">
        <v>23</v>
      </c>
      <c r="E695" t="s">
        <v>34</v>
      </c>
      <c r="F695" t="s">
        <v>24</v>
      </c>
      <c r="G695" t="s">
        <v>29</v>
      </c>
      <c r="H695" s="5">
        <v>6</v>
      </c>
      <c r="I695" s="3">
        <v>31776</v>
      </c>
      <c r="J695" s="10">
        <v>15</v>
      </c>
      <c r="K695" s="2">
        <v>162057.60000000001</v>
      </c>
      <c r="L695" s="2">
        <f>Raw_Sales_Data3[[#This Row],[Quantity]]*Raw_Sales_Data3[[#This Row],[Unit Price]]*(Raw_Sales_Data3[[#This Row],[Discount %]]/100)</f>
        <v>28598.399999999998</v>
      </c>
      <c r="M695" t="str">
        <f>IF(COUNTIF(Raw_Sales_Data3[Order ID],Raw_Sales_Data3[[#This Row],[Order ID]])&gt;1,"Duplicate Order ID","Unique Order ID")</f>
        <v>Unique Order ID</v>
      </c>
    </row>
    <row r="696" spans="1:13" x14ac:dyDescent="0.3">
      <c r="A696" t="s">
        <v>739</v>
      </c>
      <c r="B696" s="1">
        <v>46026</v>
      </c>
      <c r="C696" t="s">
        <v>12</v>
      </c>
      <c r="D696" t="s">
        <v>58</v>
      </c>
      <c r="E696" t="s">
        <v>28</v>
      </c>
      <c r="F696" t="s">
        <v>14</v>
      </c>
      <c r="G696" t="s">
        <v>15</v>
      </c>
      <c r="H696" s="5">
        <v>7</v>
      </c>
      <c r="I696" s="3">
        <v>30669</v>
      </c>
      <c r="J696" s="10">
        <v>5</v>
      </c>
      <c r="K696" s="2">
        <v>203948.85</v>
      </c>
      <c r="L696" s="2">
        <f>Raw_Sales_Data3[[#This Row],[Quantity]]*Raw_Sales_Data3[[#This Row],[Unit Price]]*(Raw_Sales_Data3[[#This Row],[Discount %]]/100)</f>
        <v>10734.150000000001</v>
      </c>
      <c r="M696" t="str">
        <f>IF(COUNTIF(Raw_Sales_Data3[Order ID],Raw_Sales_Data3[[#This Row],[Order ID]])&gt;1,"Duplicate Order ID","Unique Order ID")</f>
        <v>Unique Order ID</v>
      </c>
    </row>
    <row r="697" spans="1:13" x14ac:dyDescent="0.3">
      <c r="A697" t="s">
        <v>740</v>
      </c>
      <c r="B697" s="1">
        <v>46065</v>
      </c>
      <c r="C697" t="s">
        <v>91</v>
      </c>
      <c r="D697" t="s">
        <v>43</v>
      </c>
      <c r="E697" t="s">
        <v>28</v>
      </c>
      <c r="F697" t="s">
        <v>24</v>
      </c>
      <c r="G697" t="s">
        <v>125</v>
      </c>
      <c r="H697" s="5">
        <v>2</v>
      </c>
      <c r="I697" s="3">
        <v>37395</v>
      </c>
      <c r="J697" s="10">
        <v>5</v>
      </c>
      <c r="K697" s="2">
        <v>71050.5</v>
      </c>
      <c r="L697" s="2">
        <f>Raw_Sales_Data3[[#This Row],[Quantity]]*Raw_Sales_Data3[[#This Row],[Unit Price]]*(Raw_Sales_Data3[[#This Row],[Discount %]]/100)</f>
        <v>3739.5</v>
      </c>
      <c r="M697" t="str">
        <f>IF(COUNTIF(Raw_Sales_Data3[Order ID],Raw_Sales_Data3[[#This Row],[Order ID]])&gt;1,"Duplicate Order ID","Unique Order ID")</f>
        <v>Unique Order ID</v>
      </c>
    </row>
    <row r="698" spans="1:13" x14ac:dyDescent="0.3">
      <c r="A698" t="s">
        <v>741</v>
      </c>
      <c r="B698" s="1">
        <v>46112</v>
      </c>
      <c r="C698" t="s">
        <v>50</v>
      </c>
      <c r="D698" t="s">
        <v>58</v>
      </c>
      <c r="E698" t="s">
        <v>28</v>
      </c>
      <c r="F698" t="s">
        <v>19</v>
      </c>
      <c r="G698" t="s">
        <v>59</v>
      </c>
      <c r="H698" s="5">
        <v>7</v>
      </c>
      <c r="I698" s="3">
        <v>19867</v>
      </c>
      <c r="J698" s="10">
        <v>0</v>
      </c>
      <c r="K698" s="2">
        <v>139069</v>
      </c>
      <c r="L698" s="2">
        <f>Raw_Sales_Data3[[#This Row],[Quantity]]*Raw_Sales_Data3[[#This Row],[Unit Price]]*(Raw_Sales_Data3[[#This Row],[Discount %]]/100)</f>
        <v>0</v>
      </c>
      <c r="M698" t="str">
        <f>IF(COUNTIF(Raw_Sales_Data3[Order ID],Raw_Sales_Data3[[#This Row],[Order ID]])&gt;1,"Duplicate Order ID","Unique Order ID")</f>
        <v>Unique Order ID</v>
      </c>
    </row>
    <row r="699" spans="1:13" x14ac:dyDescent="0.3">
      <c r="A699" t="s">
        <v>742</v>
      </c>
      <c r="B699" s="1">
        <v>46026</v>
      </c>
      <c r="C699" t="s">
        <v>12</v>
      </c>
      <c r="D699" t="s">
        <v>23</v>
      </c>
      <c r="E699" t="s">
        <v>13</v>
      </c>
      <c r="F699" t="s">
        <v>24</v>
      </c>
      <c r="G699" t="s">
        <v>53</v>
      </c>
      <c r="H699" s="5">
        <v>5</v>
      </c>
      <c r="I699" s="3">
        <v>17187</v>
      </c>
      <c r="J699" s="10">
        <v>0</v>
      </c>
      <c r="K699" s="2">
        <v>85935</v>
      </c>
      <c r="L699" s="2">
        <f>Raw_Sales_Data3[[#This Row],[Quantity]]*Raw_Sales_Data3[[#This Row],[Unit Price]]*(Raw_Sales_Data3[[#This Row],[Discount %]]/100)</f>
        <v>0</v>
      </c>
      <c r="M699" t="str">
        <f>IF(COUNTIF(Raw_Sales_Data3[Order ID],Raw_Sales_Data3[[#This Row],[Order ID]])&gt;1,"Duplicate Order ID","Unique Order ID")</f>
        <v>Unique Order ID</v>
      </c>
    </row>
    <row r="700" spans="1:13" x14ac:dyDescent="0.3">
      <c r="A700" t="s">
        <v>743</v>
      </c>
      <c r="B700" s="1">
        <v>46035</v>
      </c>
      <c r="C700" t="s">
        <v>36</v>
      </c>
      <c r="D700" t="s">
        <v>70</v>
      </c>
      <c r="E700" t="s">
        <v>39</v>
      </c>
      <c r="F700" t="s">
        <v>24</v>
      </c>
      <c r="G700" t="s">
        <v>25</v>
      </c>
      <c r="H700" s="5">
        <v>2</v>
      </c>
      <c r="I700" s="3">
        <v>39000</v>
      </c>
      <c r="J700" s="10">
        <v>15</v>
      </c>
      <c r="K700" s="2">
        <v>66300</v>
      </c>
      <c r="L700" s="2">
        <f>Raw_Sales_Data3[[#This Row],[Quantity]]*Raw_Sales_Data3[[#This Row],[Unit Price]]*(Raw_Sales_Data3[[#This Row],[Discount %]]/100)</f>
        <v>11700</v>
      </c>
      <c r="M700" t="str">
        <f>IF(COUNTIF(Raw_Sales_Data3[Order ID],Raw_Sales_Data3[[#This Row],[Order ID]])&gt;1,"Duplicate Order ID","Unique Order ID")</f>
        <v>Unique Order ID</v>
      </c>
    </row>
    <row r="701" spans="1:13" x14ac:dyDescent="0.3">
      <c r="A701" t="s">
        <v>744</v>
      </c>
      <c r="B701" s="1">
        <v>46104</v>
      </c>
      <c r="C701" t="s">
        <v>27</v>
      </c>
      <c r="D701" t="s">
        <v>70</v>
      </c>
      <c r="E701" t="s">
        <v>18</v>
      </c>
      <c r="F701" t="s">
        <v>19</v>
      </c>
      <c r="G701" t="s">
        <v>59</v>
      </c>
      <c r="H701" s="5">
        <v>15</v>
      </c>
      <c r="I701" s="3">
        <v>28938</v>
      </c>
      <c r="J701" s="10">
        <v>20</v>
      </c>
      <c r="K701" s="2">
        <v>347256</v>
      </c>
      <c r="L701" s="2">
        <f>Raw_Sales_Data3[[#This Row],[Quantity]]*Raw_Sales_Data3[[#This Row],[Unit Price]]*(Raw_Sales_Data3[[#This Row],[Discount %]]/100)</f>
        <v>86814</v>
      </c>
      <c r="M701" t="str">
        <f>IF(COUNTIF(Raw_Sales_Data3[Order ID],Raw_Sales_Data3[[#This Row],[Order ID]])&gt;1,"Duplicate Order ID","Unique Order ID")</f>
        <v>Unique Order ID</v>
      </c>
    </row>
    <row r="702" spans="1:13" x14ac:dyDescent="0.3">
      <c r="A702" t="s">
        <v>745</v>
      </c>
      <c r="B702" s="1">
        <v>46080</v>
      </c>
      <c r="C702" t="s">
        <v>64</v>
      </c>
      <c r="D702" t="s">
        <v>70</v>
      </c>
      <c r="E702" t="s">
        <v>39</v>
      </c>
      <c r="F702" t="s">
        <v>24</v>
      </c>
      <c r="G702" t="s">
        <v>29</v>
      </c>
      <c r="H702" s="5">
        <v>8</v>
      </c>
      <c r="I702" s="3">
        <v>24320</v>
      </c>
      <c r="J702" s="10">
        <v>15</v>
      </c>
      <c r="K702" s="2">
        <v>165376</v>
      </c>
      <c r="L702" s="2">
        <f>Raw_Sales_Data3[[#This Row],[Quantity]]*Raw_Sales_Data3[[#This Row],[Unit Price]]*(Raw_Sales_Data3[[#This Row],[Discount %]]/100)</f>
        <v>29184</v>
      </c>
      <c r="M702" t="str">
        <f>IF(COUNTIF(Raw_Sales_Data3[Order ID],Raw_Sales_Data3[[#This Row],[Order ID]])&gt;1,"Duplicate Order ID","Unique Order ID")</f>
        <v>Unique Order ID</v>
      </c>
    </row>
    <row r="703" spans="1:13" x14ac:dyDescent="0.3">
      <c r="A703" t="s">
        <v>746</v>
      </c>
      <c r="B703" s="1">
        <v>46048</v>
      </c>
      <c r="C703" t="s">
        <v>91</v>
      </c>
      <c r="D703" t="s">
        <v>58</v>
      </c>
      <c r="E703" t="s">
        <v>13</v>
      </c>
      <c r="F703" t="s">
        <v>19</v>
      </c>
      <c r="G703" t="s">
        <v>117</v>
      </c>
      <c r="H703" s="5">
        <v>9</v>
      </c>
      <c r="I703" s="3">
        <v>31756</v>
      </c>
      <c r="J703" s="10">
        <v>0</v>
      </c>
      <c r="K703" s="2">
        <v>285804</v>
      </c>
      <c r="L703" s="2">
        <f>Raw_Sales_Data3[[#This Row],[Quantity]]*Raw_Sales_Data3[[#This Row],[Unit Price]]*(Raw_Sales_Data3[[#This Row],[Discount %]]/100)</f>
        <v>0</v>
      </c>
      <c r="M703" t="str">
        <f>IF(COUNTIF(Raw_Sales_Data3[Order ID],Raw_Sales_Data3[[#This Row],[Order ID]])&gt;1,"Duplicate Order ID","Unique Order ID")</f>
        <v>Unique Order ID</v>
      </c>
    </row>
    <row r="704" spans="1:13" x14ac:dyDescent="0.3">
      <c r="A704" t="s">
        <v>747</v>
      </c>
      <c r="B704" s="1">
        <v>46066</v>
      </c>
      <c r="C704" t="s">
        <v>27</v>
      </c>
      <c r="D704" t="s">
        <v>43</v>
      </c>
      <c r="E704" t="s">
        <v>13</v>
      </c>
      <c r="F704" t="s">
        <v>19</v>
      </c>
      <c r="G704" t="s">
        <v>147</v>
      </c>
      <c r="H704" s="5">
        <v>4</v>
      </c>
      <c r="I704" s="3">
        <v>3948</v>
      </c>
      <c r="J704" s="10">
        <v>5</v>
      </c>
      <c r="K704" s="2">
        <v>15002.4</v>
      </c>
      <c r="L704" s="2">
        <f>Raw_Sales_Data3[[#This Row],[Quantity]]*Raw_Sales_Data3[[#This Row],[Unit Price]]*(Raw_Sales_Data3[[#This Row],[Discount %]]/100)</f>
        <v>789.6</v>
      </c>
      <c r="M704" t="str">
        <f>IF(COUNTIF(Raw_Sales_Data3[Order ID],Raw_Sales_Data3[[#This Row],[Order ID]])&gt;1,"Duplicate Order ID","Unique Order ID")</f>
        <v>Unique Order ID</v>
      </c>
    </row>
    <row r="705" spans="1:13" x14ac:dyDescent="0.3">
      <c r="A705" t="s">
        <v>748</v>
      </c>
      <c r="B705" s="1">
        <v>46082</v>
      </c>
      <c r="C705" t="s">
        <v>86</v>
      </c>
      <c r="D705" t="s">
        <v>70</v>
      </c>
      <c r="E705" t="s">
        <v>34</v>
      </c>
      <c r="F705" t="s">
        <v>24</v>
      </c>
      <c r="G705" t="s">
        <v>71</v>
      </c>
      <c r="H705" s="5">
        <v>14</v>
      </c>
      <c r="I705" s="3">
        <v>18435</v>
      </c>
      <c r="J705" s="10">
        <v>0</v>
      </c>
      <c r="K705" s="2">
        <v>258090</v>
      </c>
      <c r="L705" s="2">
        <f>Raw_Sales_Data3[[#This Row],[Quantity]]*Raw_Sales_Data3[[#This Row],[Unit Price]]*(Raw_Sales_Data3[[#This Row],[Discount %]]/100)</f>
        <v>0</v>
      </c>
      <c r="M705" t="str">
        <f>IF(COUNTIF(Raw_Sales_Data3[Order ID],Raw_Sales_Data3[[#This Row],[Order ID]])&gt;1,"Duplicate Order ID","Unique Order ID")</f>
        <v>Unique Order ID</v>
      </c>
    </row>
    <row r="706" spans="1:13" x14ac:dyDescent="0.3">
      <c r="A706" t="s">
        <v>749</v>
      </c>
      <c r="B706" s="1">
        <v>46031</v>
      </c>
      <c r="C706" t="s">
        <v>17</v>
      </c>
      <c r="D706" t="s">
        <v>23</v>
      </c>
      <c r="E706" t="s">
        <v>34</v>
      </c>
      <c r="F706" t="s">
        <v>19</v>
      </c>
      <c r="G706" t="s">
        <v>40</v>
      </c>
      <c r="H706" s="5">
        <v>7</v>
      </c>
      <c r="I706" s="3">
        <v>23725</v>
      </c>
      <c r="J706" s="10">
        <v>15</v>
      </c>
      <c r="K706" s="2">
        <v>141163.75</v>
      </c>
      <c r="L706" s="2">
        <f>Raw_Sales_Data3[[#This Row],[Quantity]]*Raw_Sales_Data3[[#This Row],[Unit Price]]*(Raw_Sales_Data3[[#This Row],[Discount %]]/100)</f>
        <v>24911.25</v>
      </c>
      <c r="M706" t="str">
        <f>IF(COUNTIF(Raw_Sales_Data3[Order ID],Raw_Sales_Data3[[#This Row],[Order ID]])&gt;1,"Duplicate Order ID","Unique Order ID")</f>
        <v>Unique Order ID</v>
      </c>
    </row>
    <row r="707" spans="1:13" x14ac:dyDescent="0.3">
      <c r="A707" t="s">
        <v>750</v>
      </c>
      <c r="B707" s="1">
        <v>46089</v>
      </c>
      <c r="C707" t="s">
        <v>89</v>
      </c>
      <c r="D707" t="s">
        <v>70</v>
      </c>
      <c r="E707" t="s">
        <v>39</v>
      </c>
      <c r="F707" t="s">
        <v>24</v>
      </c>
      <c r="G707" t="s">
        <v>77</v>
      </c>
      <c r="H707" s="5">
        <v>12</v>
      </c>
      <c r="I707" s="3">
        <v>4411</v>
      </c>
      <c r="J707" s="10">
        <v>0</v>
      </c>
      <c r="K707" s="2">
        <v>52932</v>
      </c>
      <c r="L707" s="2">
        <f>Raw_Sales_Data3[[#This Row],[Quantity]]*Raw_Sales_Data3[[#This Row],[Unit Price]]*(Raw_Sales_Data3[[#This Row],[Discount %]]/100)</f>
        <v>0</v>
      </c>
      <c r="M707" t="str">
        <f>IF(COUNTIF(Raw_Sales_Data3[Order ID],Raw_Sales_Data3[[#This Row],[Order ID]])&gt;1,"Duplicate Order ID","Unique Order ID")</f>
        <v>Unique Order ID</v>
      </c>
    </row>
    <row r="708" spans="1:13" x14ac:dyDescent="0.3">
      <c r="A708" t="s">
        <v>751</v>
      </c>
      <c r="B708" s="1">
        <v>46095</v>
      </c>
      <c r="C708" t="s">
        <v>12</v>
      </c>
      <c r="D708" t="s">
        <v>70</v>
      </c>
      <c r="E708" t="s">
        <v>18</v>
      </c>
      <c r="F708" t="s">
        <v>14</v>
      </c>
      <c r="G708" t="s">
        <v>73</v>
      </c>
      <c r="H708" s="5">
        <v>2</v>
      </c>
      <c r="I708" s="3">
        <v>19992</v>
      </c>
      <c r="J708" s="10">
        <v>5</v>
      </c>
      <c r="K708" s="2">
        <v>37984.800000000003</v>
      </c>
      <c r="L708" s="2">
        <f>Raw_Sales_Data3[[#This Row],[Quantity]]*Raw_Sales_Data3[[#This Row],[Unit Price]]*(Raw_Sales_Data3[[#This Row],[Discount %]]/100)</f>
        <v>1999.2</v>
      </c>
      <c r="M708" t="str">
        <f>IF(COUNTIF(Raw_Sales_Data3[Order ID],Raw_Sales_Data3[[#This Row],[Order ID]])&gt;1,"Duplicate Order ID","Unique Order ID")</f>
        <v>Unique Order ID</v>
      </c>
    </row>
    <row r="709" spans="1:13" x14ac:dyDescent="0.3">
      <c r="A709" t="s">
        <v>752</v>
      </c>
      <c r="B709" s="1">
        <v>46071</v>
      </c>
      <c r="C709" t="s">
        <v>91</v>
      </c>
      <c r="D709" t="s">
        <v>23</v>
      </c>
      <c r="E709" t="s">
        <v>34</v>
      </c>
      <c r="F709" t="s">
        <v>14</v>
      </c>
      <c r="G709" t="s">
        <v>125</v>
      </c>
      <c r="H709" s="5">
        <f>K709/(I709*(1-J709/100))</f>
        <v>4.0000000000000009</v>
      </c>
      <c r="I709" s="3">
        <v>17542</v>
      </c>
      <c r="J709" s="10">
        <v>15</v>
      </c>
      <c r="K709" s="2">
        <v>59642.8</v>
      </c>
      <c r="L709" s="2">
        <f>Raw_Sales_Data3[[#This Row],[Quantity]]*Raw_Sales_Data3[[#This Row],[Unit Price]]*(Raw_Sales_Data3[[#This Row],[Discount %]]/100)</f>
        <v>10525.200000000003</v>
      </c>
      <c r="M709" t="str">
        <f>IF(COUNTIF(Raw_Sales_Data3[Order ID],Raw_Sales_Data3[[#This Row],[Order ID]])&gt;1,"Duplicate Order ID","Unique Order ID")</f>
        <v>Unique Order ID</v>
      </c>
    </row>
    <row r="710" spans="1:13" x14ac:dyDescent="0.3">
      <c r="A710" t="s">
        <v>753</v>
      </c>
      <c r="B710" s="1">
        <v>46077</v>
      </c>
      <c r="C710" t="s">
        <v>91</v>
      </c>
      <c r="D710" t="s">
        <v>58</v>
      </c>
      <c r="E710" t="s">
        <v>34</v>
      </c>
      <c r="F710" t="s">
        <v>14</v>
      </c>
      <c r="G710" t="s">
        <v>156</v>
      </c>
      <c r="H710" s="5">
        <v>11</v>
      </c>
      <c r="I710" s="3">
        <v>43203</v>
      </c>
      <c r="J710" s="10">
        <v>0</v>
      </c>
      <c r="K710" s="2">
        <v>475233</v>
      </c>
      <c r="L710" s="2">
        <f>Raw_Sales_Data3[[#This Row],[Quantity]]*Raw_Sales_Data3[[#This Row],[Unit Price]]*(Raw_Sales_Data3[[#This Row],[Discount %]]/100)</f>
        <v>0</v>
      </c>
      <c r="M710" t="str">
        <f>IF(COUNTIF(Raw_Sales_Data3[Order ID],Raw_Sales_Data3[[#This Row],[Order ID]])&gt;1,"Duplicate Order ID","Unique Order ID")</f>
        <v>Unique Order ID</v>
      </c>
    </row>
    <row r="711" spans="1:13" x14ac:dyDescent="0.3">
      <c r="A711" t="s">
        <v>754</v>
      </c>
      <c r="B711" s="1">
        <v>46031</v>
      </c>
      <c r="C711" t="s">
        <v>17</v>
      </c>
      <c r="D711" t="s">
        <v>23</v>
      </c>
      <c r="E711" t="s">
        <v>18</v>
      </c>
      <c r="F711" t="s">
        <v>24</v>
      </c>
      <c r="G711" t="s">
        <v>71</v>
      </c>
      <c r="H711" s="5">
        <v>8</v>
      </c>
      <c r="I711" s="3">
        <v>37066</v>
      </c>
      <c r="J711" s="10">
        <v>5</v>
      </c>
      <c r="K711" s="2">
        <v>281701.59999999998</v>
      </c>
      <c r="L711" s="2">
        <f>Raw_Sales_Data3[[#This Row],[Quantity]]*Raw_Sales_Data3[[#This Row],[Unit Price]]*(Raw_Sales_Data3[[#This Row],[Discount %]]/100)</f>
        <v>14826.400000000001</v>
      </c>
      <c r="M711" t="str">
        <f>IF(COUNTIF(Raw_Sales_Data3[Order ID],Raw_Sales_Data3[[#This Row],[Order ID]])&gt;1,"Duplicate Order ID","Unique Order ID")</f>
        <v>Unique Order ID</v>
      </c>
    </row>
    <row r="712" spans="1:13" x14ac:dyDescent="0.3">
      <c r="A712" t="s">
        <v>755</v>
      </c>
      <c r="B712" s="1">
        <v>46080</v>
      </c>
      <c r="C712" t="s">
        <v>17</v>
      </c>
      <c r="D712" t="s">
        <v>43</v>
      </c>
      <c r="E712" t="s">
        <v>34</v>
      </c>
      <c r="F712" t="s">
        <v>14</v>
      </c>
      <c r="G712" t="s">
        <v>15</v>
      </c>
      <c r="H712" s="5">
        <v>11</v>
      </c>
      <c r="I712" s="3">
        <v>20186</v>
      </c>
      <c r="J712" s="10">
        <v>15</v>
      </c>
      <c r="K712" s="2">
        <v>188739.1</v>
      </c>
      <c r="L712" s="2">
        <f>Raw_Sales_Data3[[#This Row],[Quantity]]*Raw_Sales_Data3[[#This Row],[Unit Price]]*(Raw_Sales_Data3[[#This Row],[Discount %]]/100)</f>
        <v>33306.9</v>
      </c>
      <c r="M712" t="str">
        <f>IF(COUNTIF(Raw_Sales_Data3[Order ID],Raw_Sales_Data3[[#This Row],[Order ID]])&gt;1,"Duplicate Order ID","Unique Order ID")</f>
        <v>Unique Order ID</v>
      </c>
    </row>
    <row r="713" spans="1:13" x14ac:dyDescent="0.3">
      <c r="A713" t="s">
        <v>756</v>
      </c>
      <c r="B713" s="1">
        <v>46023</v>
      </c>
      <c r="C713" t="s">
        <v>54</v>
      </c>
      <c r="D713" t="s">
        <v>58</v>
      </c>
      <c r="E713" t="s">
        <v>39</v>
      </c>
      <c r="F713" t="s">
        <v>14</v>
      </c>
      <c r="G713" t="s">
        <v>73</v>
      </c>
      <c r="H713" s="5">
        <v>2</v>
      </c>
      <c r="I713" s="3">
        <v>17215</v>
      </c>
      <c r="J713" s="10">
        <v>5</v>
      </c>
      <c r="K713" s="2">
        <v>32708.5</v>
      </c>
      <c r="L713" s="2">
        <f>Raw_Sales_Data3[[#This Row],[Quantity]]*Raw_Sales_Data3[[#This Row],[Unit Price]]*(Raw_Sales_Data3[[#This Row],[Discount %]]/100)</f>
        <v>1721.5</v>
      </c>
      <c r="M713" t="str">
        <f>IF(COUNTIF(Raw_Sales_Data3[Order ID],Raw_Sales_Data3[[#This Row],[Order ID]])&gt;1,"Duplicate Order ID","Unique Order ID")</f>
        <v>Unique Order ID</v>
      </c>
    </row>
    <row r="714" spans="1:13" x14ac:dyDescent="0.3">
      <c r="A714" t="s">
        <v>757</v>
      </c>
      <c r="B714" s="1">
        <v>46112</v>
      </c>
      <c r="C714" t="s">
        <v>64</v>
      </c>
      <c r="D714" t="s">
        <v>43</v>
      </c>
      <c r="E714" t="s">
        <v>13</v>
      </c>
      <c r="F714" t="s">
        <v>19</v>
      </c>
      <c r="G714" t="s">
        <v>98</v>
      </c>
      <c r="H714" s="5">
        <v>12</v>
      </c>
      <c r="I714" s="3">
        <v>24857</v>
      </c>
      <c r="J714" s="10">
        <v>20</v>
      </c>
      <c r="K714" s="2">
        <v>238627.20000000001</v>
      </c>
      <c r="L714" s="2">
        <f>Raw_Sales_Data3[[#This Row],[Quantity]]*Raw_Sales_Data3[[#This Row],[Unit Price]]*(Raw_Sales_Data3[[#This Row],[Discount %]]/100)</f>
        <v>59656.800000000003</v>
      </c>
      <c r="M714" t="str">
        <f>IF(COUNTIF(Raw_Sales_Data3[Order ID],Raw_Sales_Data3[[#This Row],[Order ID]])&gt;1,"Duplicate Order ID","Unique Order ID")</f>
        <v>Unique Order ID</v>
      </c>
    </row>
    <row r="715" spans="1:13" x14ac:dyDescent="0.3">
      <c r="A715" t="s">
        <v>758</v>
      </c>
      <c r="B715" s="1">
        <v>46023</v>
      </c>
      <c r="C715" t="s">
        <v>123</v>
      </c>
      <c r="D715" t="s">
        <v>43</v>
      </c>
      <c r="E715" t="s">
        <v>39</v>
      </c>
      <c r="F715" t="s">
        <v>24</v>
      </c>
      <c r="G715" t="s">
        <v>53</v>
      </c>
      <c r="H715" s="5">
        <v>3</v>
      </c>
      <c r="I715" s="3">
        <v>22184</v>
      </c>
      <c r="J715" s="10">
        <v>5</v>
      </c>
      <c r="K715" s="2">
        <v>63224.4</v>
      </c>
      <c r="L715" s="2">
        <f>Raw_Sales_Data3[[#This Row],[Quantity]]*Raw_Sales_Data3[[#This Row],[Unit Price]]*(Raw_Sales_Data3[[#This Row],[Discount %]]/100)</f>
        <v>3327.6000000000004</v>
      </c>
      <c r="M715" t="str">
        <f>IF(COUNTIF(Raw_Sales_Data3[Order ID],Raw_Sales_Data3[[#This Row],[Order ID]])&gt;1,"Duplicate Order ID","Unique Order ID")</f>
        <v>Unique Order ID</v>
      </c>
    </row>
    <row r="716" spans="1:13" x14ac:dyDescent="0.3">
      <c r="A716" t="s">
        <v>759</v>
      </c>
      <c r="B716" s="1">
        <v>46095</v>
      </c>
      <c r="C716" t="s">
        <v>89</v>
      </c>
      <c r="D716" t="s">
        <v>58</v>
      </c>
      <c r="E716" t="s">
        <v>34</v>
      </c>
      <c r="F716" t="s">
        <v>14</v>
      </c>
      <c r="G716" t="s">
        <v>125</v>
      </c>
      <c r="H716" s="5">
        <v>10</v>
      </c>
      <c r="I716" s="3">
        <v>28551</v>
      </c>
      <c r="J716" s="10">
        <v>20</v>
      </c>
      <c r="K716" s="2">
        <v>228408</v>
      </c>
      <c r="L716" s="2">
        <f>Raw_Sales_Data3[[#This Row],[Quantity]]*Raw_Sales_Data3[[#This Row],[Unit Price]]*(Raw_Sales_Data3[[#This Row],[Discount %]]/100)</f>
        <v>57102</v>
      </c>
      <c r="M716" t="str">
        <f>IF(COUNTIF(Raw_Sales_Data3[Order ID],Raw_Sales_Data3[[#This Row],[Order ID]])&gt;1,"Duplicate Order ID","Unique Order ID")</f>
        <v>Unique Order ID</v>
      </c>
    </row>
    <row r="717" spans="1:13" x14ac:dyDescent="0.3">
      <c r="A717" t="s">
        <v>760</v>
      </c>
      <c r="B717" s="1">
        <v>46050</v>
      </c>
      <c r="C717" t="s">
        <v>57</v>
      </c>
      <c r="D717" t="s">
        <v>43</v>
      </c>
      <c r="E717" t="s">
        <v>18</v>
      </c>
      <c r="F717" t="s">
        <v>19</v>
      </c>
      <c r="G717" t="s">
        <v>46</v>
      </c>
      <c r="H717" s="5">
        <v>14</v>
      </c>
      <c r="I717" s="3">
        <v>58630</v>
      </c>
      <c r="J717" s="10">
        <v>0</v>
      </c>
      <c r="K717" s="2">
        <v>779779</v>
      </c>
      <c r="L717" s="2">
        <f>Raw_Sales_Data3[[#This Row],[Quantity]]*Raw_Sales_Data3[[#This Row],[Unit Price]]*(Raw_Sales_Data3[[#This Row],[Discount %]]/100)</f>
        <v>0</v>
      </c>
      <c r="M717" t="str">
        <f>IF(COUNTIF(Raw_Sales_Data3[Order ID],Raw_Sales_Data3[[#This Row],[Order ID]])&gt;1,"Duplicate Order ID","Unique Order ID")</f>
        <v>Unique Order ID</v>
      </c>
    </row>
    <row r="718" spans="1:13" x14ac:dyDescent="0.3">
      <c r="A718" t="s">
        <v>761</v>
      </c>
      <c r="B718" s="1">
        <v>46039</v>
      </c>
      <c r="C718" t="s">
        <v>86</v>
      </c>
      <c r="D718" t="s">
        <v>58</v>
      </c>
      <c r="E718" t="s">
        <v>13</v>
      </c>
      <c r="F718" t="s">
        <v>24</v>
      </c>
      <c r="G718" t="s">
        <v>29</v>
      </c>
      <c r="H718" s="5">
        <v>5</v>
      </c>
      <c r="I718" s="3">
        <v>17042</v>
      </c>
      <c r="J718" s="10">
        <v>20</v>
      </c>
      <c r="K718" s="2">
        <v>68168</v>
      </c>
      <c r="L718" s="2">
        <f>Raw_Sales_Data3[[#This Row],[Quantity]]*Raw_Sales_Data3[[#This Row],[Unit Price]]*(Raw_Sales_Data3[[#This Row],[Discount %]]/100)</f>
        <v>17042</v>
      </c>
      <c r="M718" t="str">
        <f>IF(COUNTIF(Raw_Sales_Data3[Order ID],Raw_Sales_Data3[[#This Row],[Order ID]])&gt;1,"Duplicate Order ID","Unique Order ID")</f>
        <v>Unique Order ID</v>
      </c>
    </row>
    <row r="719" spans="1:13" x14ac:dyDescent="0.3">
      <c r="A719" t="s">
        <v>762</v>
      </c>
      <c r="B719" s="1">
        <v>46103</v>
      </c>
      <c r="C719" t="s">
        <v>89</v>
      </c>
      <c r="D719" t="s">
        <v>70</v>
      </c>
      <c r="E719" t="s">
        <v>28</v>
      </c>
      <c r="F719" t="s">
        <v>14</v>
      </c>
      <c r="G719" t="s">
        <v>66</v>
      </c>
      <c r="H719" s="5">
        <v>8</v>
      </c>
      <c r="I719" s="3">
        <v>41104</v>
      </c>
      <c r="J719" s="10">
        <v>5</v>
      </c>
      <c r="K719" s="2">
        <v>312390.40000000002</v>
      </c>
      <c r="L719" s="2">
        <f>Raw_Sales_Data3[[#This Row],[Quantity]]*Raw_Sales_Data3[[#This Row],[Unit Price]]*(Raw_Sales_Data3[[#This Row],[Discount %]]/100)</f>
        <v>16441.600000000002</v>
      </c>
      <c r="M719" t="str">
        <f>IF(COUNTIF(Raw_Sales_Data3[Order ID],Raw_Sales_Data3[[#This Row],[Order ID]])&gt;1,"Duplicate Order ID","Unique Order ID")</f>
        <v>Duplicate Order ID</v>
      </c>
    </row>
    <row r="720" spans="1:13" x14ac:dyDescent="0.3">
      <c r="A720" t="s">
        <v>762</v>
      </c>
      <c r="B720" s="1">
        <v>46049</v>
      </c>
      <c r="C720" t="s">
        <v>123</v>
      </c>
      <c r="D720" t="s">
        <v>43</v>
      </c>
      <c r="E720" t="s">
        <v>28</v>
      </c>
      <c r="F720" t="s">
        <v>14</v>
      </c>
      <c r="G720" t="s">
        <v>156</v>
      </c>
      <c r="H720" s="5">
        <v>5</v>
      </c>
      <c r="I720" s="3">
        <v>41726</v>
      </c>
      <c r="J720" s="10">
        <v>20</v>
      </c>
      <c r="K720" s="2">
        <v>166904</v>
      </c>
      <c r="L720" s="2">
        <f>Raw_Sales_Data3[[#This Row],[Quantity]]*Raw_Sales_Data3[[#This Row],[Unit Price]]*(Raw_Sales_Data3[[#This Row],[Discount %]]/100)</f>
        <v>41726</v>
      </c>
      <c r="M720" t="str">
        <f>IF(COUNTIF(Raw_Sales_Data3[Order ID],Raw_Sales_Data3[[#This Row],[Order ID]])&gt;1,"Duplicate Order ID","Unique Order ID")</f>
        <v>Duplicate Order ID</v>
      </c>
    </row>
    <row r="721" spans="1:13" x14ac:dyDescent="0.3">
      <c r="A721" t="s">
        <v>763</v>
      </c>
      <c r="B721" s="1">
        <v>46045</v>
      </c>
      <c r="C721" t="s">
        <v>50</v>
      </c>
      <c r="D721" t="s">
        <v>23</v>
      </c>
      <c r="E721" t="s">
        <v>34</v>
      </c>
      <c r="F721" t="s">
        <v>19</v>
      </c>
      <c r="G721" t="s">
        <v>1038</v>
      </c>
      <c r="H721" s="5">
        <v>1</v>
      </c>
      <c r="I721" s="3">
        <v>32293</v>
      </c>
      <c r="J721" s="10">
        <v>0</v>
      </c>
      <c r="K721" s="2">
        <v>32293</v>
      </c>
      <c r="L721" s="2">
        <f>Raw_Sales_Data3[[#This Row],[Quantity]]*Raw_Sales_Data3[[#This Row],[Unit Price]]*(Raw_Sales_Data3[[#This Row],[Discount %]]/100)</f>
        <v>0</v>
      </c>
      <c r="M721" t="str">
        <f>IF(COUNTIF(Raw_Sales_Data3[Order ID],Raw_Sales_Data3[[#This Row],[Order ID]])&gt;1,"Duplicate Order ID","Unique Order ID")</f>
        <v>Unique Order ID</v>
      </c>
    </row>
    <row r="722" spans="1:13" x14ac:dyDescent="0.3">
      <c r="A722" t="s">
        <v>764</v>
      </c>
      <c r="B722" s="1">
        <v>46044</v>
      </c>
      <c r="C722" t="s">
        <v>50</v>
      </c>
      <c r="D722" t="s">
        <v>43</v>
      </c>
      <c r="E722" t="s">
        <v>18</v>
      </c>
      <c r="F722" t="s">
        <v>24</v>
      </c>
      <c r="G722" t="s">
        <v>25</v>
      </c>
      <c r="H722" s="5">
        <v>14</v>
      </c>
      <c r="I722" s="3">
        <v>19558</v>
      </c>
      <c r="J722" s="10">
        <v>0</v>
      </c>
      <c r="K722" s="2">
        <v>273812</v>
      </c>
      <c r="L722" s="2">
        <f>Raw_Sales_Data3[[#This Row],[Quantity]]*Raw_Sales_Data3[[#This Row],[Unit Price]]*(Raw_Sales_Data3[[#This Row],[Discount %]]/100)</f>
        <v>0</v>
      </c>
      <c r="M722" t="str">
        <f>IF(COUNTIF(Raw_Sales_Data3[Order ID],Raw_Sales_Data3[[#This Row],[Order ID]])&gt;1,"Duplicate Order ID","Unique Order ID")</f>
        <v>Unique Order ID</v>
      </c>
    </row>
    <row r="723" spans="1:13" x14ac:dyDescent="0.3">
      <c r="A723" t="s">
        <v>765</v>
      </c>
      <c r="B723" s="1">
        <v>46097</v>
      </c>
      <c r="C723" t="s">
        <v>62</v>
      </c>
      <c r="D723" t="s">
        <v>58</v>
      </c>
      <c r="E723" t="s">
        <v>34</v>
      </c>
      <c r="F723" t="s">
        <v>19</v>
      </c>
      <c r="G723" t="s">
        <v>79</v>
      </c>
      <c r="H723" s="5">
        <v>7</v>
      </c>
      <c r="I723" s="3">
        <v>8711</v>
      </c>
      <c r="J723" s="10">
        <v>5</v>
      </c>
      <c r="K723" s="2">
        <v>57928.15</v>
      </c>
      <c r="L723" s="2">
        <f>Raw_Sales_Data3[[#This Row],[Quantity]]*Raw_Sales_Data3[[#This Row],[Unit Price]]*(Raw_Sales_Data3[[#This Row],[Discount %]]/100)</f>
        <v>3048.8500000000004</v>
      </c>
      <c r="M723" t="str">
        <f>IF(COUNTIF(Raw_Sales_Data3[Order ID],Raw_Sales_Data3[[#This Row],[Order ID]])&gt;1,"Duplicate Order ID","Unique Order ID")</f>
        <v>Unique Order ID</v>
      </c>
    </row>
    <row r="724" spans="1:13" x14ac:dyDescent="0.3">
      <c r="A724" t="s">
        <v>766</v>
      </c>
      <c r="B724" s="1">
        <v>46069</v>
      </c>
      <c r="C724" t="s">
        <v>89</v>
      </c>
      <c r="D724" t="s">
        <v>23</v>
      </c>
      <c r="E724" t="s">
        <v>34</v>
      </c>
      <c r="F724" t="s">
        <v>19</v>
      </c>
      <c r="G724" t="s">
        <v>20</v>
      </c>
      <c r="H724" s="5">
        <v>6</v>
      </c>
      <c r="I724" s="3">
        <v>1117</v>
      </c>
      <c r="J724" s="10">
        <v>0</v>
      </c>
      <c r="K724" s="2">
        <v>6702</v>
      </c>
      <c r="L724" s="2">
        <f>Raw_Sales_Data3[[#This Row],[Quantity]]*Raw_Sales_Data3[[#This Row],[Unit Price]]*(Raw_Sales_Data3[[#This Row],[Discount %]]/100)</f>
        <v>0</v>
      </c>
      <c r="M724" t="str">
        <f>IF(COUNTIF(Raw_Sales_Data3[Order ID],Raw_Sales_Data3[[#This Row],[Order ID]])&gt;1,"Duplicate Order ID","Unique Order ID")</f>
        <v>Unique Order ID</v>
      </c>
    </row>
    <row r="725" spans="1:13" x14ac:dyDescent="0.3">
      <c r="A725" t="s">
        <v>767</v>
      </c>
      <c r="B725" s="1">
        <v>46095</v>
      </c>
      <c r="C725" t="s">
        <v>12</v>
      </c>
      <c r="D725" t="s">
        <v>58</v>
      </c>
      <c r="E725" t="s">
        <v>18</v>
      </c>
      <c r="F725" t="s">
        <v>19</v>
      </c>
      <c r="G725" t="s">
        <v>120</v>
      </c>
      <c r="H725" s="5">
        <v>14</v>
      </c>
      <c r="I725" s="3">
        <v>11101</v>
      </c>
      <c r="J725" s="10">
        <v>0</v>
      </c>
      <c r="K725" s="2">
        <v>155414</v>
      </c>
      <c r="L725" s="2">
        <f>Raw_Sales_Data3[[#This Row],[Quantity]]*Raw_Sales_Data3[[#This Row],[Unit Price]]*(Raw_Sales_Data3[[#This Row],[Discount %]]/100)</f>
        <v>0</v>
      </c>
      <c r="M725" t="str">
        <f>IF(COUNTIF(Raw_Sales_Data3[Order ID],Raw_Sales_Data3[[#This Row],[Order ID]])&gt;1,"Duplicate Order ID","Unique Order ID")</f>
        <v>Unique Order ID</v>
      </c>
    </row>
    <row r="726" spans="1:13" x14ac:dyDescent="0.3">
      <c r="A726" t="s">
        <v>768</v>
      </c>
      <c r="B726" s="1">
        <v>46069</v>
      </c>
      <c r="C726" t="s">
        <v>27</v>
      </c>
      <c r="D726" t="s">
        <v>23</v>
      </c>
      <c r="E726" t="s">
        <v>28</v>
      </c>
      <c r="F726" t="s">
        <v>24</v>
      </c>
      <c r="G726" t="s">
        <v>53</v>
      </c>
      <c r="H726" s="5">
        <v>6</v>
      </c>
      <c r="I726" s="3">
        <v>6013</v>
      </c>
      <c r="J726" s="10">
        <v>15</v>
      </c>
      <c r="K726" s="2">
        <v>30666.3</v>
      </c>
      <c r="L726" s="2">
        <f>Raw_Sales_Data3[[#This Row],[Quantity]]*Raw_Sales_Data3[[#This Row],[Unit Price]]*(Raw_Sales_Data3[[#This Row],[Discount %]]/100)</f>
        <v>5411.7</v>
      </c>
      <c r="M726" t="str">
        <f>IF(COUNTIF(Raw_Sales_Data3[Order ID],Raw_Sales_Data3[[#This Row],[Order ID]])&gt;1,"Duplicate Order ID","Unique Order ID")</f>
        <v>Unique Order ID</v>
      </c>
    </row>
    <row r="727" spans="1:13" x14ac:dyDescent="0.3">
      <c r="A727" t="s">
        <v>769</v>
      </c>
      <c r="B727" s="1">
        <v>46067</v>
      </c>
      <c r="C727" t="s">
        <v>69</v>
      </c>
      <c r="D727" t="s">
        <v>70</v>
      </c>
      <c r="E727" t="s">
        <v>18</v>
      </c>
      <c r="F727" t="s">
        <v>14</v>
      </c>
      <c r="G727" t="s">
        <v>15</v>
      </c>
      <c r="H727" s="5">
        <v>11</v>
      </c>
      <c r="I727" s="3">
        <v>32955</v>
      </c>
      <c r="J727" s="10">
        <v>5</v>
      </c>
      <c r="K727" s="2">
        <v>344379.75</v>
      </c>
      <c r="L727" s="2">
        <f>Raw_Sales_Data3[[#This Row],[Quantity]]*Raw_Sales_Data3[[#This Row],[Unit Price]]*(Raw_Sales_Data3[[#This Row],[Discount %]]/100)</f>
        <v>18125.25</v>
      </c>
      <c r="M727" t="str">
        <f>IF(COUNTIF(Raw_Sales_Data3[Order ID],Raw_Sales_Data3[[#This Row],[Order ID]])&gt;1,"Duplicate Order ID","Unique Order ID")</f>
        <v>Unique Order ID</v>
      </c>
    </row>
    <row r="728" spans="1:13" x14ac:dyDescent="0.3">
      <c r="A728" t="s">
        <v>770</v>
      </c>
      <c r="B728" s="1">
        <v>46058</v>
      </c>
      <c r="C728" t="s">
        <v>12</v>
      </c>
      <c r="D728" t="s">
        <v>70</v>
      </c>
      <c r="E728" t="s">
        <v>13</v>
      </c>
      <c r="F728" t="s">
        <v>19</v>
      </c>
      <c r="G728" t="s">
        <v>59</v>
      </c>
      <c r="H728" s="5">
        <v>14</v>
      </c>
      <c r="I728" s="3">
        <v>51100</v>
      </c>
      <c r="J728" s="10">
        <v>5</v>
      </c>
      <c r="K728" s="2">
        <v>679630</v>
      </c>
      <c r="L728" s="2">
        <f>Raw_Sales_Data3[[#This Row],[Quantity]]*Raw_Sales_Data3[[#This Row],[Unit Price]]*(Raw_Sales_Data3[[#This Row],[Discount %]]/100)</f>
        <v>35770</v>
      </c>
      <c r="M728" t="str">
        <f>IF(COUNTIF(Raw_Sales_Data3[Order ID],Raw_Sales_Data3[[#This Row],[Order ID]])&gt;1,"Duplicate Order ID","Unique Order ID")</f>
        <v>Unique Order ID</v>
      </c>
    </row>
    <row r="729" spans="1:13" x14ac:dyDescent="0.3">
      <c r="A729" t="s">
        <v>771</v>
      </c>
      <c r="B729" s="1">
        <v>46066</v>
      </c>
      <c r="C729" t="s">
        <v>48</v>
      </c>
      <c r="D729" t="s">
        <v>43</v>
      </c>
      <c r="E729" t="s">
        <v>18</v>
      </c>
      <c r="F729" t="s">
        <v>19</v>
      </c>
      <c r="G729" t="s">
        <v>40</v>
      </c>
      <c r="H729" s="5">
        <v>3</v>
      </c>
      <c r="I729" s="3">
        <v>27604</v>
      </c>
      <c r="J729" s="10">
        <v>20</v>
      </c>
      <c r="K729" s="2">
        <v>66249.600000000006</v>
      </c>
      <c r="L729" s="2">
        <f>Raw_Sales_Data3[[#This Row],[Quantity]]*Raw_Sales_Data3[[#This Row],[Unit Price]]*(Raw_Sales_Data3[[#This Row],[Discount %]]/100)</f>
        <v>16562.400000000001</v>
      </c>
      <c r="M729" t="str">
        <f>IF(COUNTIF(Raw_Sales_Data3[Order ID],Raw_Sales_Data3[[#This Row],[Order ID]])&gt;1,"Duplicate Order ID","Unique Order ID")</f>
        <v>Unique Order ID</v>
      </c>
    </row>
    <row r="730" spans="1:13" x14ac:dyDescent="0.3">
      <c r="A730" t="s">
        <v>772</v>
      </c>
      <c r="B730" s="1">
        <v>46049</v>
      </c>
      <c r="C730" t="s">
        <v>38</v>
      </c>
      <c r="D730" t="s">
        <v>70</v>
      </c>
      <c r="E730" t="s">
        <v>13</v>
      </c>
      <c r="F730" t="s">
        <v>14</v>
      </c>
      <c r="G730" t="s">
        <v>156</v>
      </c>
      <c r="H730" s="5">
        <v>11</v>
      </c>
      <c r="I730" s="3">
        <v>48714</v>
      </c>
      <c r="J730" s="10">
        <v>20</v>
      </c>
      <c r="K730" s="2">
        <v>428683.2</v>
      </c>
      <c r="L730" s="2">
        <f>Raw_Sales_Data3[[#This Row],[Quantity]]*Raw_Sales_Data3[[#This Row],[Unit Price]]*(Raw_Sales_Data3[[#This Row],[Discount %]]/100)</f>
        <v>107170.8</v>
      </c>
      <c r="M730" t="str">
        <f>IF(COUNTIF(Raw_Sales_Data3[Order ID],Raw_Sales_Data3[[#This Row],[Order ID]])&gt;1,"Duplicate Order ID","Unique Order ID")</f>
        <v>Unique Order ID</v>
      </c>
    </row>
    <row r="731" spans="1:13" x14ac:dyDescent="0.3">
      <c r="A731" t="s">
        <v>773</v>
      </c>
      <c r="B731" s="1">
        <v>46039</v>
      </c>
      <c r="C731" t="s">
        <v>86</v>
      </c>
      <c r="D731" t="s">
        <v>23</v>
      </c>
      <c r="E731" t="s">
        <v>39</v>
      </c>
      <c r="F731" t="s">
        <v>19</v>
      </c>
      <c r="G731" t="s">
        <v>59</v>
      </c>
      <c r="H731" s="5">
        <v>1</v>
      </c>
      <c r="I731" s="3">
        <v>54845</v>
      </c>
      <c r="J731" s="10">
        <v>5</v>
      </c>
      <c r="K731" s="2">
        <v>52102.75</v>
      </c>
      <c r="L731" s="2">
        <f>Raw_Sales_Data3[[#This Row],[Quantity]]*Raw_Sales_Data3[[#This Row],[Unit Price]]*(Raw_Sales_Data3[[#This Row],[Discount %]]/100)</f>
        <v>2742.25</v>
      </c>
      <c r="M731" t="str">
        <f>IF(COUNTIF(Raw_Sales_Data3[Order ID],Raw_Sales_Data3[[#This Row],[Order ID]])&gt;1,"Duplicate Order ID","Unique Order ID")</f>
        <v>Unique Order ID</v>
      </c>
    </row>
    <row r="732" spans="1:13" x14ac:dyDescent="0.3">
      <c r="A732" t="s">
        <v>774</v>
      </c>
      <c r="B732" s="1">
        <v>46098</v>
      </c>
      <c r="C732" t="s">
        <v>38</v>
      </c>
      <c r="D732" t="s">
        <v>70</v>
      </c>
      <c r="E732" t="s">
        <v>18</v>
      </c>
      <c r="F732" t="s">
        <v>14</v>
      </c>
      <c r="G732" t="s">
        <v>156</v>
      </c>
      <c r="H732" s="5">
        <v>10</v>
      </c>
      <c r="I732" s="3">
        <v>24559</v>
      </c>
      <c r="J732" s="10">
        <v>20</v>
      </c>
      <c r="K732" s="2">
        <v>196472</v>
      </c>
      <c r="L732" s="2">
        <f>Raw_Sales_Data3[[#This Row],[Quantity]]*Raw_Sales_Data3[[#This Row],[Unit Price]]*(Raw_Sales_Data3[[#This Row],[Discount %]]/100)</f>
        <v>49118</v>
      </c>
      <c r="M732" t="str">
        <f>IF(COUNTIF(Raw_Sales_Data3[Order ID],Raw_Sales_Data3[[#This Row],[Order ID]])&gt;1,"Duplicate Order ID","Unique Order ID")</f>
        <v>Unique Order ID</v>
      </c>
    </row>
    <row r="733" spans="1:13" x14ac:dyDescent="0.3">
      <c r="A733" t="s">
        <v>775</v>
      </c>
      <c r="B733" s="1">
        <v>46078</v>
      </c>
      <c r="C733" t="s">
        <v>12</v>
      </c>
      <c r="D733" t="s">
        <v>23</v>
      </c>
      <c r="E733" t="s">
        <v>39</v>
      </c>
      <c r="F733" t="s">
        <v>14</v>
      </c>
      <c r="G733" t="s">
        <v>51</v>
      </c>
      <c r="H733" s="5">
        <v>2</v>
      </c>
      <c r="I733" s="3">
        <v>7798</v>
      </c>
      <c r="J733" s="10">
        <v>0</v>
      </c>
      <c r="K733" s="2">
        <v>15596</v>
      </c>
      <c r="L733" s="2">
        <f>Raw_Sales_Data3[[#This Row],[Quantity]]*Raw_Sales_Data3[[#This Row],[Unit Price]]*(Raw_Sales_Data3[[#This Row],[Discount %]]/100)</f>
        <v>0</v>
      </c>
      <c r="M733" t="str">
        <f>IF(COUNTIF(Raw_Sales_Data3[Order ID],Raw_Sales_Data3[[#This Row],[Order ID]])&gt;1,"Duplicate Order ID","Unique Order ID")</f>
        <v>Unique Order ID</v>
      </c>
    </row>
    <row r="734" spans="1:13" x14ac:dyDescent="0.3">
      <c r="A734" t="s">
        <v>776</v>
      </c>
      <c r="B734" s="1">
        <v>46090</v>
      </c>
      <c r="C734" t="s">
        <v>54</v>
      </c>
      <c r="D734" t="s">
        <v>70</v>
      </c>
      <c r="E734" t="s">
        <v>34</v>
      </c>
      <c r="F734" t="s">
        <v>19</v>
      </c>
      <c r="G734" t="s">
        <v>120</v>
      </c>
      <c r="H734" s="5">
        <v>9</v>
      </c>
      <c r="I734" s="3">
        <v>50656</v>
      </c>
      <c r="J734" s="10">
        <v>20</v>
      </c>
      <c r="K734" s="2">
        <v>364723.20000000001</v>
      </c>
      <c r="L734" s="2">
        <f>Raw_Sales_Data3[[#This Row],[Quantity]]*Raw_Sales_Data3[[#This Row],[Unit Price]]*(Raw_Sales_Data3[[#This Row],[Discount %]]/100)</f>
        <v>91180.800000000003</v>
      </c>
      <c r="M734" t="str">
        <f>IF(COUNTIF(Raw_Sales_Data3[Order ID],Raw_Sales_Data3[[#This Row],[Order ID]])&gt;1,"Duplicate Order ID","Unique Order ID")</f>
        <v>Unique Order ID</v>
      </c>
    </row>
    <row r="735" spans="1:13" x14ac:dyDescent="0.3">
      <c r="A735" t="s">
        <v>777</v>
      </c>
      <c r="B735" s="1">
        <v>46081</v>
      </c>
      <c r="C735" t="s">
        <v>38</v>
      </c>
      <c r="D735" t="s">
        <v>43</v>
      </c>
      <c r="E735" t="s">
        <v>18</v>
      </c>
      <c r="F735" t="s">
        <v>19</v>
      </c>
      <c r="G735" t="s">
        <v>59</v>
      </c>
      <c r="H735" s="5">
        <v>5</v>
      </c>
      <c r="I735" s="3">
        <v>45186</v>
      </c>
      <c r="J735" s="10">
        <v>5</v>
      </c>
      <c r="K735" s="2">
        <v>214633.5</v>
      </c>
      <c r="L735" s="2">
        <f>Raw_Sales_Data3[[#This Row],[Quantity]]*Raw_Sales_Data3[[#This Row],[Unit Price]]*(Raw_Sales_Data3[[#This Row],[Discount %]]/100)</f>
        <v>11296.5</v>
      </c>
      <c r="M735" t="str">
        <f>IF(COUNTIF(Raw_Sales_Data3[Order ID],Raw_Sales_Data3[[#This Row],[Order ID]])&gt;1,"Duplicate Order ID","Unique Order ID")</f>
        <v>Unique Order ID</v>
      </c>
    </row>
    <row r="736" spans="1:13" x14ac:dyDescent="0.3">
      <c r="A736" t="s">
        <v>778</v>
      </c>
      <c r="B736" s="1">
        <v>46072</v>
      </c>
      <c r="C736" t="s">
        <v>36</v>
      </c>
      <c r="D736" t="s">
        <v>70</v>
      </c>
      <c r="E736" t="s">
        <v>18</v>
      </c>
      <c r="F736" t="s">
        <v>24</v>
      </c>
      <c r="G736" t="s">
        <v>55</v>
      </c>
      <c r="H736" s="5">
        <v>9</v>
      </c>
      <c r="I736" s="3">
        <v>4890</v>
      </c>
      <c r="J736" s="10">
        <v>15</v>
      </c>
      <c r="K736" s="2">
        <v>37408.5</v>
      </c>
      <c r="L736" s="2">
        <f>Raw_Sales_Data3[[#This Row],[Quantity]]*Raw_Sales_Data3[[#This Row],[Unit Price]]*(Raw_Sales_Data3[[#This Row],[Discount %]]/100)</f>
        <v>6601.5</v>
      </c>
      <c r="M736" t="str">
        <f>IF(COUNTIF(Raw_Sales_Data3[Order ID],Raw_Sales_Data3[[#This Row],[Order ID]])&gt;1,"Duplicate Order ID","Unique Order ID")</f>
        <v>Unique Order ID</v>
      </c>
    </row>
    <row r="737" spans="1:13" x14ac:dyDescent="0.3">
      <c r="A737" t="s">
        <v>779</v>
      </c>
      <c r="B737" s="1">
        <v>46102</v>
      </c>
      <c r="C737" t="s">
        <v>86</v>
      </c>
      <c r="D737" t="s">
        <v>70</v>
      </c>
      <c r="E737" t="s">
        <v>28</v>
      </c>
      <c r="F737" t="s">
        <v>14</v>
      </c>
      <c r="G737" t="s">
        <v>66</v>
      </c>
      <c r="H737" s="5">
        <v>14</v>
      </c>
      <c r="I737" s="3">
        <v>28658</v>
      </c>
      <c r="J737" s="10">
        <v>0</v>
      </c>
      <c r="K737" s="2">
        <v>401212</v>
      </c>
      <c r="L737" s="2">
        <f>Raw_Sales_Data3[[#This Row],[Quantity]]*Raw_Sales_Data3[[#This Row],[Unit Price]]*(Raw_Sales_Data3[[#This Row],[Discount %]]/100)</f>
        <v>0</v>
      </c>
      <c r="M737" t="str">
        <f>IF(COUNTIF(Raw_Sales_Data3[Order ID],Raw_Sales_Data3[[#This Row],[Order ID]])&gt;1,"Duplicate Order ID","Unique Order ID")</f>
        <v>Unique Order ID</v>
      </c>
    </row>
    <row r="738" spans="1:13" x14ac:dyDescent="0.3">
      <c r="A738" t="s">
        <v>780</v>
      </c>
      <c r="B738" s="1">
        <v>46092</v>
      </c>
      <c r="C738" t="s">
        <v>123</v>
      </c>
      <c r="D738" t="s">
        <v>23</v>
      </c>
      <c r="E738" t="s">
        <v>28</v>
      </c>
      <c r="F738" t="s">
        <v>14</v>
      </c>
      <c r="G738" t="s">
        <v>125</v>
      </c>
      <c r="H738" s="5">
        <v>14</v>
      </c>
      <c r="I738" s="3">
        <v>11830</v>
      </c>
      <c r="J738" s="10">
        <v>0</v>
      </c>
      <c r="K738" s="2">
        <v>165620</v>
      </c>
      <c r="L738" s="2">
        <f>Raw_Sales_Data3[[#This Row],[Quantity]]*Raw_Sales_Data3[[#This Row],[Unit Price]]*(Raw_Sales_Data3[[#This Row],[Discount %]]/100)</f>
        <v>0</v>
      </c>
      <c r="M738" t="str">
        <f>IF(COUNTIF(Raw_Sales_Data3[Order ID],Raw_Sales_Data3[[#This Row],[Order ID]])&gt;1,"Duplicate Order ID","Unique Order ID")</f>
        <v>Unique Order ID</v>
      </c>
    </row>
    <row r="739" spans="1:13" x14ac:dyDescent="0.3">
      <c r="A739" t="s">
        <v>781</v>
      </c>
      <c r="B739" s="1">
        <v>46112</v>
      </c>
      <c r="C739" t="s">
        <v>54</v>
      </c>
      <c r="D739" t="s">
        <v>58</v>
      </c>
      <c r="E739" t="s">
        <v>39</v>
      </c>
      <c r="F739" t="s">
        <v>19</v>
      </c>
      <c r="G739" t="s">
        <v>40</v>
      </c>
      <c r="H739" s="5">
        <v>5</v>
      </c>
      <c r="I739" s="3">
        <v>36766</v>
      </c>
      <c r="J739" s="10">
        <v>5</v>
      </c>
      <c r="K739" s="2">
        <v>174638.5</v>
      </c>
      <c r="L739" s="2">
        <f>Raw_Sales_Data3[[#This Row],[Quantity]]*Raw_Sales_Data3[[#This Row],[Unit Price]]*(Raw_Sales_Data3[[#This Row],[Discount %]]/100)</f>
        <v>9191.5</v>
      </c>
      <c r="M739" t="str">
        <f>IF(COUNTIF(Raw_Sales_Data3[Order ID],Raw_Sales_Data3[[#This Row],[Order ID]])&gt;1,"Duplicate Order ID","Unique Order ID")</f>
        <v>Unique Order ID</v>
      </c>
    </row>
    <row r="740" spans="1:13" x14ac:dyDescent="0.3">
      <c r="A740" t="s">
        <v>782</v>
      </c>
      <c r="B740" s="1">
        <v>46035</v>
      </c>
      <c r="C740" t="s">
        <v>33</v>
      </c>
      <c r="D740" t="s">
        <v>43</v>
      </c>
      <c r="E740" t="s">
        <v>28</v>
      </c>
      <c r="F740" t="s">
        <v>19</v>
      </c>
      <c r="G740" t="s">
        <v>59</v>
      </c>
      <c r="H740" s="5">
        <v>4</v>
      </c>
      <c r="I740" s="3">
        <v>58433</v>
      </c>
      <c r="J740" s="10">
        <v>0</v>
      </c>
      <c r="K740" s="2">
        <v>233732</v>
      </c>
      <c r="L740" s="2">
        <f>Raw_Sales_Data3[[#This Row],[Quantity]]*Raw_Sales_Data3[[#This Row],[Unit Price]]*(Raw_Sales_Data3[[#This Row],[Discount %]]/100)</f>
        <v>0</v>
      </c>
      <c r="M740" t="str">
        <f>IF(COUNTIF(Raw_Sales_Data3[Order ID],Raw_Sales_Data3[[#This Row],[Order ID]])&gt;1,"Duplicate Order ID","Unique Order ID")</f>
        <v>Unique Order ID</v>
      </c>
    </row>
    <row r="741" spans="1:13" x14ac:dyDescent="0.3">
      <c r="A741" t="s">
        <v>783</v>
      </c>
      <c r="B741" s="1">
        <v>46047</v>
      </c>
      <c r="C741" t="s">
        <v>123</v>
      </c>
      <c r="D741" t="s">
        <v>58</v>
      </c>
      <c r="E741" t="s">
        <v>28</v>
      </c>
      <c r="F741" t="s">
        <v>19</v>
      </c>
      <c r="G741" t="s">
        <v>120</v>
      </c>
      <c r="H741" s="5">
        <v>5</v>
      </c>
      <c r="I741" s="3">
        <v>4095</v>
      </c>
      <c r="J741" s="10">
        <v>5</v>
      </c>
      <c r="K741" s="2">
        <v>19451.25</v>
      </c>
      <c r="L741" s="2">
        <f>Raw_Sales_Data3[[#This Row],[Quantity]]*Raw_Sales_Data3[[#This Row],[Unit Price]]*(Raw_Sales_Data3[[#This Row],[Discount %]]/100)</f>
        <v>1023.75</v>
      </c>
      <c r="M741" t="str">
        <f>IF(COUNTIF(Raw_Sales_Data3[Order ID],Raw_Sales_Data3[[#This Row],[Order ID]])&gt;1,"Duplicate Order ID","Unique Order ID")</f>
        <v>Unique Order ID</v>
      </c>
    </row>
    <row r="742" spans="1:13" x14ac:dyDescent="0.3">
      <c r="A742" t="s">
        <v>784</v>
      </c>
      <c r="B742" s="1">
        <v>46063</v>
      </c>
      <c r="C742" t="s">
        <v>64</v>
      </c>
      <c r="D742" t="s">
        <v>23</v>
      </c>
      <c r="E742" t="s">
        <v>18</v>
      </c>
      <c r="F742" t="s">
        <v>14</v>
      </c>
      <c r="G742" t="s">
        <v>15</v>
      </c>
      <c r="H742" s="5">
        <v>6</v>
      </c>
      <c r="I742" s="3">
        <v>3931</v>
      </c>
      <c r="J742" s="10">
        <v>5</v>
      </c>
      <c r="K742" s="2">
        <v>22406.7</v>
      </c>
      <c r="L742" s="2">
        <f>Raw_Sales_Data3[[#This Row],[Quantity]]*Raw_Sales_Data3[[#This Row],[Unit Price]]*(Raw_Sales_Data3[[#This Row],[Discount %]]/100)</f>
        <v>1179.3</v>
      </c>
      <c r="M742" t="str">
        <f>IF(COUNTIF(Raw_Sales_Data3[Order ID],Raw_Sales_Data3[[#This Row],[Order ID]])&gt;1,"Duplicate Order ID","Unique Order ID")</f>
        <v>Unique Order ID</v>
      </c>
    </row>
    <row r="743" spans="1:13" x14ac:dyDescent="0.3">
      <c r="A743" t="s">
        <v>785</v>
      </c>
      <c r="B743" s="1">
        <v>46033</v>
      </c>
      <c r="C743" t="s">
        <v>48</v>
      </c>
      <c r="D743" t="s">
        <v>70</v>
      </c>
      <c r="E743" t="s">
        <v>18</v>
      </c>
      <c r="F743" t="s">
        <v>24</v>
      </c>
      <c r="G743" t="s">
        <v>53</v>
      </c>
      <c r="H743" s="5">
        <v>3</v>
      </c>
      <c r="I743" s="3">
        <v>13151</v>
      </c>
      <c r="J743" s="10">
        <v>20</v>
      </c>
      <c r="K743" s="2">
        <v>31562.400000000001</v>
      </c>
      <c r="L743" s="2">
        <f>Raw_Sales_Data3[[#This Row],[Quantity]]*Raw_Sales_Data3[[#This Row],[Unit Price]]*(Raw_Sales_Data3[[#This Row],[Discount %]]/100)</f>
        <v>7890.6</v>
      </c>
      <c r="M743" t="str">
        <f>IF(COUNTIF(Raw_Sales_Data3[Order ID],Raw_Sales_Data3[[#This Row],[Order ID]])&gt;1,"Duplicate Order ID","Unique Order ID")</f>
        <v>Unique Order ID</v>
      </c>
    </row>
    <row r="744" spans="1:13" x14ac:dyDescent="0.3">
      <c r="A744" t="s">
        <v>786</v>
      </c>
      <c r="B744" s="1">
        <v>46093</v>
      </c>
      <c r="C744" t="s">
        <v>50</v>
      </c>
      <c r="D744" t="s">
        <v>58</v>
      </c>
      <c r="E744" t="s">
        <v>28</v>
      </c>
      <c r="F744" t="s">
        <v>14</v>
      </c>
      <c r="G744" t="s">
        <v>125</v>
      </c>
      <c r="H744" s="5">
        <v>14</v>
      </c>
      <c r="I744" s="3">
        <v>14498</v>
      </c>
      <c r="J744" s="10">
        <v>5</v>
      </c>
      <c r="K744" s="2">
        <v>192823.4</v>
      </c>
      <c r="L744" s="2">
        <f>Raw_Sales_Data3[[#This Row],[Quantity]]*Raw_Sales_Data3[[#This Row],[Unit Price]]*(Raw_Sales_Data3[[#This Row],[Discount %]]/100)</f>
        <v>10148.6</v>
      </c>
      <c r="M744" t="str">
        <f>IF(COUNTIF(Raw_Sales_Data3[Order ID],Raw_Sales_Data3[[#This Row],[Order ID]])&gt;1,"Duplicate Order ID","Unique Order ID")</f>
        <v>Unique Order ID</v>
      </c>
    </row>
    <row r="745" spans="1:13" x14ac:dyDescent="0.3">
      <c r="A745" t="s">
        <v>787</v>
      </c>
      <c r="B745" s="1">
        <v>46062</v>
      </c>
      <c r="C745" t="s">
        <v>17</v>
      </c>
      <c r="D745" t="s">
        <v>58</v>
      </c>
      <c r="E745" t="s">
        <v>18</v>
      </c>
      <c r="F745" t="s">
        <v>24</v>
      </c>
      <c r="G745" t="s">
        <v>77</v>
      </c>
      <c r="H745" s="5">
        <v>11</v>
      </c>
      <c r="I745" s="3">
        <v>32365</v>
      </c>
      <c r="J745" s="10">
        <v>0</v>
      </c>
      <c r="K745" s="2">
        <v>356015</v>
      </c>
      <c r="L745" s="2">
        <f>Raw_Sales_Data3[[#This Row],[Quantity]]*Raw_Sales_Data3[[#This Row],[Unit Price]]*(Raw_Sales_Data3[[#This Row],[Discount %]]/100)</f>
        <v>0</v>
      </c>
      <c r="M745" t="str">
        <f>IF(COUNTIF(Raw_Sales_Data3[Order ID],Raw_Sales_Data3[[#This Row],[Order ID]])&gt;1,"Duplicate Order ID","Unique Order ID")</f>
        <v>Unique Order ID</v>
      </c>
    </row>
    <row r="746" spans="1:13" x14ac:dyDescent="0.3">
      <c r="A746" t="s">
        <v>788</v>
      </c>
      <c r="B746" s="1">
        <v>46090</v>
      </c>
      <c r="C746" t="s">
        <v>48</v>
      </c>
      <c r="D746" t="s">
        <v>23</v>
      </c>
      <c r="E746" t="s">
        <v>28</v>
      </c>
      <c r="F746" t="s">
        <v>24</v>
      </c>
      <c r="G746" t="s">
        <v>77</v>
      </c>
      <c r="H746" s="5">
        <v>4</v>
      </c>
      <c r="I746" s="3">
        <v>23492</v>
      </c>
      <c r="J746" s="10">
        <v>20</v>
      </c>
      <c r="K746" s="2">
        <v>75174.399999999994</v>
      </c>
      <c r="L746" s="2">
        <f>Raw_Sales_Data3[[#This Row],[Quantity]]*Raw_Sales_Data3[[#This Row],[Unit Price]]*(Raw_Sales_Data3[[#This Row],[Discount %]]/100)</f>
        <v>18793.600000000002</v>
      </c>
      <c r="M746" t="str">
        <f>IF(COUNTIF(Raw_Sales_Data3[Order ID],Raw_Sales_Data3[[#This Row],[Order ID]])&gt;1,"Duplicate Order ID","Unique Order ID")</f>
        <v>Unique Order ID</v>
      </c>
    </row>
    <row r="747" spans="1:13" x14ac:dyDescent="0.3">
      <c r="A747" t="s">
        <v>789</v>
      </c>
      <c r="B747" s="1">
        <v>46037</v>
      </c>
      <c r="C747" t="s">
        <v>50</v>
      </c>
      <c r="D747" t="s">
        <v>23</v>
      </c>
      <c r="E747" t="s">
        <v>28</v>
      </c>
      <c r="F747" t="s">
        <v>14</v>
      </c>
      <c r="G747" t="s">
        <v>15</v>
      </c>
      <c r="H747" s="5">
        <v>15</v>
      </c>
      <c r="I747" s="3">
        <v>42963</v>
      </c>
      <c r="J747" s="10">
        <v>0</v>
      </c>
      <c r="K747" s="2">
        <v>644445</v>
      </c>
      <c r="L747" s="2">
        <f>Raw_Sales_Data3[[#This Row],[Quantity]]*Raw_Sales_Data3[[#This Row],[Unit Price]]*(Raw_Sales_Data3[[#This Row],[Discount %]]/100)</f>
        <v>0</v>
      </c>
      <c r="M747" t="str">
        <f>IF(COUNTIF(Raw_Sales_Data3[Order ID],Raw_Sales_Data3[[#This Row],[Order ID]])&gt;1,"Duplicate Order ID","Unique Order ID")</f>
        <v>Unique Order ID</v>
      </c>
    </row>
    <row r="748" spans="1:13" x14ac:dyDescent="0.3">
      <c r="A748" t="s">
        <v>790</v>
      </c>
      <c r="B748" s="1">
        <v>46086</v>
      </c>
      <c r="C748" t="s">
        <v>33</v>
      </c>
      <c r="D748" t="s">
        <v>58</v>
      </c>
      <c r="E748" t="s">
        <v>39</v>
      </c>
      <c r="F748" t="s">
        <v>14</v>
      </c>
      <c r="G748" t="s">
        <v>125</v>
      </c>
      <c r="H748" s="5">
        <v>5</v>
      </c>
      <c r="I748" s="3">
        <v>36662</v>
      </c>
      <c r="J748" s="10">
        <v>5</v>
      </c>
      <c r="K748" s="2">
        <v>174144.5</v>
      </c>
      <c r="L748" s="2">
        <f>Raw_Sales_Data3[[#This Row],[Quantity]]*Raw_Sales_Data3[[#This Row],[Unit Price]]*(Raw_Sales_Data3[[#This Row],[Discount %]]/100)</f>
        <v>9165.5</v>
      </c>
      <c r="M748" t="str">
        <f>IF(COUNTIF(Raw_Sales_Data3[Order ID],Raw_Sales_Data3[[#This Row],[Order ID]])&gt;1,"Duplicate Order ID","Unique Order ID")</f>
        <v>Unique Order ID</v>
      </c>
    </row>
    <row r="749" spans="1:13" x14ac:dyDescent="0.3">
      <c r="A749" t="s">
        <v>791</v>
      </c>
      <c r="B749" s="1">
        <v>46085</v>
      </c>
      <c r="C749" t="s">
        <v>54</v>
      </c>
      <c r="D749" t="s">
        <v>43</v>
      </c>
      <c r="E749" t="s">
        <v>13</v>
      </c>
      <c r="F749" t="s">
        <v>14</v>
      </c>
      <c r="G749" t="s">
        <v>103</v>
      </c>
      <c r="H749" s="5">
        <v>15</v>
      </c>
      <c r="I749" s="3">
        <v>16570</v>
      </c>
      <c r="J749" s="10">
        <v>10</v>
      </c>
      <c r="K749" s="2">
        <v>223695</v>
      </c>
      <c r="L749" s="2">
        <f>Raw_Sales_Data3[[#This Row],[Quantity]]*Raw_Sales_Data3[[#This Row],[Unit Price]]*(Raw_Sales_Data3[[#This Row],[Discount %]]/100)</f>
        <v>24855</v>
      </c>
      <c r="M749" t="str">
        <f>IF(COUNTIF(Raw_Sales_Data3[Order ID],Raw_Sales_Data3[[#This Row],[Order ID]])&gt;1,"Duplicate Order ID","Unique Order ID")</f>
        <v>Unique Order ID</v>
      </c>
    </row>
    <row r="750" spans="1:13" x14ac:dyDescent="0.3">
      <c r="A750" t="s">
        <v>792</v>
      </c>
      <c r="B750" s="1">
        <v>46088</v>
      </c>
      <c r="C750" t="s">
        <v>27</v>
      </c>
      <c r="D750" t="s">
        <v>70</v>
      </c>
      <c r="E750" t="s">
        <v>39</v>
      </c>
      <c r="F750" t="s">
        <v>14</v>
      </c>
      <c r="G750" t="s">
        <v>66</v>
      </c>
      <c r="H750" s="5">
        <v>12</v>
      </c>
      <c r="I750" s="3">
        <v>7543</v>
      </c>
      <c r="J750" s="10">
        <v>15</v>
      </c>
      <c r="K750" s="2">
        <v>76938.600000000006</v>
      </c>
      <c r="L750" s="2">
        <f>Raw_Sales_Data3[[#This Row],[Quantity]]*Raw_Sales_Data3[[#This Row],[Unit Price]]*(Raw_Sales_Data3[[#This Row],[Discount %]]/100)</f>
        <v>13577.4</v>
      </c>
      <c r="M750" t="str">
        <f>IF(COUNTIF(Raw_Sales_Data3[Order ID],Raw_Sales_Data3[[#This Row],[Order ID]])&gt;1,"Duplicate Order ID","Unique Order ID")</f>
        <v>Unique Order ID</v>
      </c>
    </row>
    <row r="751" spans="1:13" x14ac:dyDescent="0.3">
      <c r="A751" t="s">
        <v>793</v>
      </c>
      <c r="B751" s="1">
        <v>46076</v>
      </c>
      <c r="C751" t="s">
        <v>45</v>
      </c>
      <c r="D751" t="s">
        <v>43</v>
      </c>
      <c r="E751" t="s">
        <v>28</v>
      </c>
      <c r="F751" t="s">
        <v>19</v>
      </c>
      <c r="G751" t="s">
        <v>117</v>
      </c>
      <c r="H751" s="5">
        <v>6</v>
      </c>
      <c r="I751" s="3">
        <v>12624</v>
      </c>
      <c r="J751" s="10">
        <v>0</v>
      </c>
      <c r="K751" s="2">
        <v>71956.800000000003</v>
      </c>
      <c r="L751" s="2">
        <f>Raw_Sales_Data3[[#This Row],[Quantity]]*Raw_Sales_Data3[[#This Row],[Unit Price]]*(Raw_Sales_Data3[[#This Row],[Discount %]]/100)</f>
        <v>0</v>
      </c>
      <c r="M751" t="str">
        <f>IF(COUNTIF(Raw_Sales_Data3[Order ID],Raw_Sales_Data3[[#This Row],[Order ID]])&gt;1,"Duplicate Order ID","Unique Order ID")</f>
        <v>Unique Order ID</v>
      </c>
    </row>
    <row r="752" spans="1:13" x14ac:dyDescent="0.3">
      <c r="A752" t="s">
        <v>794</v>
      </c>
      <c r="B752" s="1">
        <v>46108</v>
      </c>
      <c r="C752" t="s">
        <v>27</v>
      </c>
      <c r="D752" t="s">
        <v>58</v>
      </c>
      <c r="E752" t="s">
        <v>13</v>
      </c>
      <c r="F752" t="s">
        <v>24</v>
      </c>
      <c r="G752" t="s">
        <v>29</v>
      </c>
      <c r="H752" s="5">
        <v>11</v>
      </c>
      <c r="I752" s="3">
        <v>36986</v>
      </c>
      <c r="J752" s="10">
        <v>0</v>
      </c>
      <c r="K752" s="2">
        <v>406846</v>
      </c>
      <c r="L752" s="2">
        <f>Raw_Sales_Data3[[#This Row],[Quantity]]*Raw_Sales_Data3[[#This Row],[Unit Price]]*(Raw_Sales_Data3[[#This Row],[Discount %]]/100)</f>
        <v>0</v>
      </c>
      <c r="M752" t="str">
        <f>IF(COUNTIF(Raw_Sales_Data3[Order ID],Raw_Sales_Data3[[#This Row],[Order ID]])&gt;1,"Duplicate Order ID","Unique Order ID")</f>
        <v>Unique Order ID</v>
      </c>
    </row>
    <row r="753" spans="1:13" x14ac:dyDescent="0.3">
      <c r="A753" t="s">
        <v>795</v>
      </c>
      <c r="B753" s="1">
        <v>46024</v>
      </c>
      <c r="C753" t="s">
        <v>64</v>
      </c>
      <c r="D753" t="s">
        <v>43</v>
      </c>
      <c r="E753" t="s">
        <v>39</v>
      </c>
      <c r="F753" t="s">
        <v>14</v>
      </c>
      <c r="G753" t="s">
        <v>98</v>
      </c>
      <c r="H753" s="5">
        <v>13</v>
      </c>
      <c r="I753" s="3">
        <v>55379</v>
      </c>
      <c r="J753" s="10">
        <v>5</v>
      </c>
      <c r="K753" s="2">
        <v>683930.65</v>
      </c>
      <c r="L753" s="2">
        <f>Raw_Sales_Data3[[#This Row],[Quantity]]*Raw_Sales_Data3[[#This Row],[Unit Price]]*(Raw_Sales_Data3[[#This Row],[Discount %]]/100)</f>
        <v>35996.35</v>
      </c>
      <c r="M753" t="str">
        <f>IF(COUNTIF(Raw_Sales_Data3[Order ID],Raw_Sales_Data3[[#This Row],[Order ID]])&gt;1,"Duplicate Order ID","Unique Order ID")</f>
        <v>Unique Order ID</v>
      </c>
    </row>
    <row r="754" spans="1:13" x14ac:dyDescent="0.3">
      <c r="A754" t="s">
        <v>796</v>
      </c>
      <c r="B754" s="1">
        <v>46060</v>
      </c>
      <c r="C754" t="s">
        <v>38</v>
      </c>
      <c r="D754" t="s">
        <v>70</v>
      </c>
      <c r="E754" t="s">
        <v>18</v>
      </c>
      <c r="F754" t="s">
        <v>14</v>
      </c>
      <c r="G754" t="s">
        <v>98</v>
      </c>
      <c r="H754" s="5">
        <v>7</v>
      </c>
      <c r="I754" s="3">
        <v>19788</v>
      </c>
      <c r="J754" s="10">
        <v>0</v>
      </c>
      <c r="K754" s="2">
        <v>138516</v>
      </c>
      <c r="L754" s="2">
        <f>Raw_Sales_Data3[[#This Row],[Quantity]]*Raw_Sales_Data3[[#This Row],[Unit Price]]*(Raw_Sales_Data3[[#This Row],[Discount %]]/100)</f>
        <v>0</v>
      </c>
      <c r="M754" t="str">
        <f>IF(COUNTIF(Raw_Sales_Data3[Order ID],Raw_Sales_Data3[[#This Row],[Order ID]])&gt;1,"Duplicate Order ID","Unique Order ID")</f>
        <v>Unique Order ID</v>
      </c>
    </row>
    <row r="755" spans="1:13" x14ac:dyDescent="0.3">
      <c r="A755" t="s">
        <v>797</v>
      </c>
      <c r="B755" s="1">
        <v>46087</v>
      </c>
      <c r="C755" t="s">
        <v>89</v>
      </c>
      <c r="D755" t="s">
        <v>58</v>
      </c>
      <c r="E755" t="s">
        <v>28</v>
      </c>
      <c r="F755" t="s">
        <v>24</v>
      </c>
      <c r="G755" t="s">
        <v>55</v>
      </c>
      <c r="H755" s="5">
        <v>7</v>
      </c>
      <c r="I755" s="3">
        <v>42800</v>
      </c>
      <c r="J755" s="10">
        <v>15</v>
      </c>
      <c r="K755" s="2">
        <v>254660</v>
      </c>
      <c r="L755" s="2">
        <f>Raw_Sales_Data3[[#This Row],[Quantity]]*Raw_Sales_Data3[[#This Row],[Unit Price]]*(Raw_Sales_Data3[[#This Row],[Discount %]]/100)</f>
        <v>44940</v>
      </c>
      <c r="M755" t="str">
        <f>IF(COUNTIF(Raw_Sales_Data3[Order ID],Raw_Sales_Data3[[#This Row],[Order ID]])&gt;1,"Duplicate Order ID","Unique Order ID")</f>
        <v>Unique Order ID</v>
      </c>
    </row>
    <row r="756" spans="1:13" x14ac:dyDescent="0.3">
      <c r="A756" t="s">
        <v>798</v>
      </c>
      <c r="B756" s="1">
        <v>46033</v>
      </c>
      <c r="C756" t="s">
        <v>45</v>
      </c>
      <c r="D756" t="s">
        <v>43</v>
      </c>
      <c r="E756" t="s">
        <v>39</v>
      </c>
      <c r="F756" t="s">
        <v>19</v>
      </c>
      <c r="G756" t="s">
        <v>40</v>
      </c>
      <c r="H756" s="5">
        <v>5</v>
      </c>
      <c r="I756" s="3">
        <v>2557</v>
      </c>
      <c r="J756" s="10">
        <v>5</v>
      </c>
      <c r="K756" s="2">
        <v>12145.75</v>
      </c>
      <c r="L756" s="2">
        <f>Raw_Sales_Data3[[#This Row],[Quantity]]*Raw_Sales_Data3[[#This Row],[Unit Price]]*(Raw_Sales_Data3[[#This Row],[Discount %]]/100)</f>
        <v>639.25</v>
      </c>
      <c r="M756" t="str">
        <f>IF(COUNTIF(Raw_Sales_Data3[Order ID],Raw_Sales_Data3[[#This Row],[Order ID]])&gt;1,"Duplicate Order ID","Unique Order ID")</f>
        <v>Unique Order ID</v>
      </c>
    </row>
    <row r="757" spans="1:13" x14ac:dyDescent="0.3">
      <c r="A757" t="s">
        <v>799</v>
      </c>
      <c r="B757" s="1">
        <v>46078</v>
      </c>
      <c r="C757" t="s">
        <v>91</v>
      </c>
      <c r="D757" t="s">
        <v>70</v>
      </c>
      <c r="E757" t="s">
        <v>18</v>
      </c>
      <c r="F757" t="s">
        <v>24</v>
      </c>
      <c r="G757" t="s">
        <v>71</v>
      </c>
      <c r="H757" s="5">
        <v>9</v>
      </c>
      <c r="I757" s="3">
        <v>28998</v>
      </c>
      <c r="J757" s="10">
        <v>20</v>
      </c>
      <c r="K757" s="2">
        <v>208785.6</v>
      </c>
      <c r="L757" s="2">
        <f>Raw_Sales_Data3[[#This Row],[Quantity]]*Raw_Sales_Data3[[#This Row],[Unit Price]]*(Raw_Sales_Data3[[#This Row],[Discount %]]/100)</f>
        <v>52196.4</v>
      </c>
      <c r="M757" t="str">
        <f>IF(COUNTIF(Raw_Sales_Data3[Order ID],Raw_Sales_Data3[[#This Row],[Order ID]])&gt;1,"Duplicate Order ID","Unique Order ID")</f>
        <v>Unique Order ID</v>
      </c>
    </row>
    <row r="758" spans="1:13" x14ac:dyDescent="0.3">
      <c r="A758" t="s">
        <v>800</v>
      </c>
      <c r="B758" s="1">
        <v>46039</v>
      </c>
      <c r="C758" t="s">
        <v>12</v>
      </c>
      <c r="D758" t="s">
        <v>58</v>
      </c>
      <c r="E758" t="s">
        <v>28</v>
      </c>
      <c r="F758" t="s">
        <v>24</v>
      </c>
      <c r="G758" t="s">
        <v>53</v>
      </c>
      <c r="H758" s="5">
        <v>13</v>
      </c>
      <c r="I758" s="3">
        <v>19382</v>
      </c>
      <c r="J758" s="10">
        <v>20</v>
      </c>
      <c r="K758" s="2">
        <v>201572.8</v>
      </c>
      <c r="L758" s="2">
        <f>Raw_Sales_Data3[[#This Row],[Quantity]]*Raw_Sales_Data3[[#This Row],[Unit Price]]*(Raw_Sales_Data3[[#This Row],[Discount %]]/100)</f>
        <v>50393.200000000004</v>
      </c>
      <c r="M758" t="str">
        <f>IF(COUNTIF(Raw_Sales_Data3[Order ID],Raw_Sales_Data3[[#This Row],[Order ID]])&gt;1,"Duplicate Order ID","Unique Order ID")</f>
        <v>Unique Order ID</v>
      </c>
    </row>
    <row r="759" spans="1:13" x14ac:dyDescent="0.3">
      <c r="A759" t="s">
        <v>801</v>
      </c>
      <c r="B759" s="1">
        <v>46054</v>
      </c>
      <c r="C759" t="s">
        <v>22</v>
      </c>
      <c r="D759" t="s">
        <v>58</v>
      </c>
      <c r="E759" t="s">
        <v>13</v>
      </c>
      <c r="F759" t="s">
        <v>24</v>
      </c>
      <c r="G759" t="s">
        <v>29</v>
      </c>
      <c r="H759" s="5">
        <v>11</v>
      </c>
      <c r="I759" s="3">
        <v>1076</v>
      </c>
      <c r="J759" s="10">
        <v>20</v>
      </c>
      <c r="K759" s="2">
        <v>9468.7999999999993</v>
      </c>
      <c r="L759" s="2">
        <f>Raw_Sales_Data3[[#This Row],[Quantity]]*Raw_Sales_Data3[[#This Row],[Unit Price]]*(Raw_Sales_Data3[[#This Row],[Discount %]]/100)</f>
        <v>2367.2000000000003</v>
      </c>
      <c r="M759" t="str">
        <f>IF(COUNTIF(Raw_Sales_Data3[Order ID],Raw_Sales_Data3[[#This Row],[Order ID]])&gt;1,"Duplicate Order ID","Unique Order ID")</f>
        <v>Unique Order ID</v>
      </c>
    </row>
    <row r="760" spans="1:13" x14ac:dyDescent="0.3">
      <c r="A760" t="s">
        <v>802</v>
      </c>
      <c r="B760" s="1">
        <v>46032</v>
      </c>
      <c r="C760" t="s">
        <v>64</v>
      </c>
      <c r="D760" t="s">
        <v>43</v>
      </c>
      <c r="E760" t="s">
        <v>39</v>
      </c>
      <c r="F760" t="s">
        <v>19</v>
      </c>
      <c r="G760" t="s">
        <v>79</v>
      </c>
      <c r="H760" s="5">
        <v>10</v>
      </c>
      <c r="I760" s="3">
        <v>22715</v>
      </c>
      <c r="J760" s="10">
        <v>5</v>
      </c>
      <c r="K760" s="2">
        <v>215792.5</v>
      </c>
      <c r="L760" s="2">
        <f>Raw_Sales_Data3[[#This Row],[Quantity]]*Raw_Sales_Data3[[#This Row],[Unit Price]]*(Raw_Sales_Data3[[#This Row],[Discount %]]/100)</f>
        <v>11357.5</v>
      </c>
      <c r="M760" t="str">
        <f>IF(COUNTIF(Raw_Sales_Data3[Order ID],Raw_Sales_Data3[[#This Row],[Order ID]])&gt;1,"Duplicate Order ID","Unique Order ID")</f>
        <v>Unique Order ID</v>
      </c>
    </row>
    <row r="761" spans="1:13" x14ac:dyDescent="0.3">
      <c r="A761" t="s">
        <v>803</v>
      </c>
      <c r="B761" s="1"/>
      <c r="C761" t="s">
        <v>89</v>
      </c>
      <c r="D761" t="s">
        <v>58</v>
      </c>
      <c r="E761" t="s">
        <v>18</v>
      </c>
      <c r="F761" t="s">
        <v>19</v>
      </c>
      <c r="G761" t="s">
        <v>59</v>
      </c>
      <c r="H761" s="5">
        <v>3</v>
      </c>
      <c r="I761" s="3">
        <v>34482</v>
      </c>
      <c r="J761" s="10">
        <v>15</v>
      </c>
      <c r="K761" s="2">
        <v>87929.1</v>
      </c>
      <c r="L761" s="2">
        <f>Raw_Sales_Data3[[#This Row],[Quantity]]*Raw_Sales_Data3[[#This Row],[Unit Price]]*(Raw_Sales_Data3[[#This Row],[Discount %]]/100)</f>
        <v>15516.9</v>
      </c>
      <c r="M761" t="str">
        <f>IF(COUNTIF(Raw_Sales_Data3[Order ID],Raw_Sales_Data3[[#This Row],[Order ID]])&gt;1,"Duplicate Order ID","Unique Order ID")</f>
        <v>Unique Order ID</v>
      </c>
    </row>
    <row r="762" spans="1:13" x14ac:dyDescent="0.3">
      <c r="A762" t="s">
        <v>804</v>
      </c>
      <c r="B762" s="1">
        <v>46099</v>
      </c>
      <c r="C762" t="s">
        <v>62</v>
      </c>
      <c r="D762" t="s">
        <v>58</v>
      </c>
      <c r="E762" t="s">
        <v>13</v>
      </c>
      <c r="F762" t="s">
        <v>24</v>
      </c>
      <c r="G762" t="s">
        <v>53</v>
      </c>
      <c r="H762" s="5">
        <v>8</v>
      </c>
      <c r="I762" s="3">
        <v>21450</v>
      </c>
      <c r="J762" s="10">
        <v>0</v>
      </c>
      <c r="K762" s="2">
        <v>171600</v>
      </c>
      <c r="L762" s="2">
        <f>Raw_Sales_Data3[[#This Row],[Quantity]]*Raw_Sales_Data3[[#This Row],[Unit Price]]*(Raw_Sales_Data3[[#This Row],[Discount %]]/100)</f>
        <v>0</v>
      </c>
      <c r="M762" t="str">
        <f>IF(COUNTIF(Raw_Sales_Data3[Order ID],Raw_Sales_Data3[[#This Row],[Order ID]])&gt;1,"Duplicate Order ID","Unique Order ID")</f>
        <v>Unique Order ID</v>
      </c>
    </row>
    <row r="763" spans="1:13" x14ac:dyDescent="0.3">
      <c r="A763" t="s">
        <v>805</v>
      </c>
      <c r="B763" s="1">
        <v>46069</v>
      </c>
      <c r="C763" t="s">
        <v>12</v>
      </c>
      <c r="D763" t="s">
        <v>70</v>
      </c>
      <c r="E763" t="s">
        <v>34</v>
      </c>
      <c r="F763" t="s">
        <v>19</v>
      </c>
      <c r="G763" t="s">
        <v>40</v>
      </c>
      <c r="H763" s="5">
        <v>8</v>
      </c>
      <c r="I763" s="3">
        <v>6007</v>
      </c>
      <c r="J763" s="10">
        <v>0</v>
      </c>
      <c r="K763" s="2">
        <v>48056</v>
      </c>
      <c r="L763" s="2">
        <f>Raw_Sales_Data3[[#This Row],[Quantity]]*Raw_Sales_Data3[[#This Row],[Unit Price]]*(Raw_Sales_Data3[[#This Row],[Discount %]]/100)</f>
        <v>0</v>
      </c>
      <c r="M763" t="str">
        <f>IF(COUNTIF(Raw_Sales_Data3[Order ID],Raw_Sales_Data3[[#This Row],[Order ID]])&gt;1,"Duplicate Order ID","Unique Order ID")</f>
        <v>Unique Order ID</v>
      </c>
    </row>
    <row r="764" spans="1:13" x14ac:dyDescent="0.3">
      <c r="A764" t="s">
        <v>806</v>
      </c>
      <c r="B764" s="1">
        <v>46025</v>
      </c>
      <c r="C764" t="s">
        <v>86</v>
      </c>
      <c r="D764" t="s">
        <v>23</v>
      </c>
      <c r="E764" t="s">
        <v>34</v>
      </c>
      <c r="F764" t="s">
        <v>24</v>
      </c>
      <c r="G764" t="s">
        <v>25</v>
      </c>
      <c r="H764" s="5">
        <v>7</v>
      </c>
      <c r="I764" s="3">
        <v>23829</v>
      </c>
      <c r="J764" s="10">
        <v>5</v>
      </c>
      <c r="K764" s="2">
        <v>158462.85</v>
      </c>
      <c r="L764" s="2">
        <f>Raw_Sales_Data3[[#This Row],[Quantity]]*Raw_Sales_Data3[[#This Row],[Unit Price]]*(Raw_Sales_Data3[[#This Row],[Discount %]]/100)</f>
        <v>8340.15</v>
      </c>
      <c r="M764" t="str">
        <f>IF(COUNTIF(Raw_Sales_Data3[Order ID],Raw_Sales_Data3[[#This Row],[Order ID]])&gt;1,"Duplicate Order ID","Unique Order ID")</f>
        <v>Unique Order ID</v>
      </c>
    </row>
    <row r="765" spans="1:13" x14ac:dyDescent="0.3">
      <c r="A765" t="s">
        <v>807</v>
      </c>
      <c r="B765" s="1">
        <v>46028</v>
      </c>
      <c r="C765" t="s">
        <v>48</v>
      </c>
      <c r="D765" t="s">
        <v>23</v>
      </c>
      <c r="E765" t="s">
        <v>34</v>
      </c>
      <c r="F765" t="s">
        <v>19</v>
      </c>
      <c r="G765" t="s">
        <v>20</v>
      </c>
      <c r="H765" s="5">
        <v>5</v>
      </c>
      <c r="I765" s="3">
        <v>17427</v>
      </c>
      <c r="J765" s="10">
        <v>20</v>
      </c>
      <c r="K765" s="2">
        <v>69708</v>
      </c>
      <c r="L765" s="2">
        <f>Raw_Sales_Data3[[#This Row],[Quantity]]*Raw_Sales_Data3[[#This Row],[Unit Price]]*(Raw_Sales_Data3[[#This Row],[Discount %]]/100)</f>
        <v>17427</v>
      </c>
      <c r="M765" t="str">
        <f>IF(COUNTIF(Raw_Sales_Data3[Order ID],Raw_Sales_Data3[[#This Row],[Order ID]])&gt;1,"Duplicate Order ID","Unique Order ID")</f>
        <v>Unique Order ID</v>
      </c>
    </row>
    <row r="766" spans="1:13" x14ac:dyDescent="0.3">
      <c r="A766" t="s">
        <v>808</v>
      </c>
      <c r="B766" s="1">
        <v>46039</v>
      </c>
      <c r="C766" t="s">
        <v>33</v>
      </c>
      <c r="D766" t="s">
        <v>43</v>
      </c>
      <c r="E766" t="s">
        <v>13</v>
      </c>
      <c r="F766" t="s">
        <v>24</v>
      </c>
      <c r="G766" t="s">
        <v>77</v>
      </c>
      <c r="H766" s="5">
        <v>4</v>
      </c>
      <c r="I766" s="3">
        <v>18819</v>
      </c>
      <c r="J766" s="10">
        <v>0</v>
      </c>
      <c r="K766" s="2">
        <v>75276</v>
      </c>
      <c r="L766" s="2">
        <f>Raw_Sales_Data3[[#This Row],[Quantity]]*Raw_Sales_Data3[[#This Row],[Unit Price]]*(Raw_Sales_Data3[[#This Row],[Discount %]]/100)</f>
        <v>0</v>
      </c>
      <c r="M766" t="str">
        <f>IF(COUNTIF(Raw_Sales_Data3[Order ID],Raw_Sales_Data3[[#This Row],[Order ID]])&gt;1,"Duplicate Order ID","Unique Order ID")</f>
        <v>Unique Order ID</v>
      </c>
    </row>
    <row r="767" spans="1:13" x14ac:dyDescent="0.3">
      <c r="A767" t="s">
        <v>809</v>
      </c>
      <c r="B767" s="1">
        <v>46060</v>
      </c>
      <c r="C767" t="s">
        <v>17</v>
      </c>
      <c r="D767" t="s">
        <v>58</v>
      </c>
      <c r="E767" t="s">
        <v>39</v>
      </c>
      <c r="F767" t="s">
        <v>14</v>
      </c>
      <c r="G767" t="s">
        <v>51</v>
      </c>
      <c r="H767" s="5">
        <v>11</v>
      </c>
      <c r="I767" s="3">
        <v>16373</v>
      </c>
      <c r="J767" s="10">
        <v>15</v>
      </c>
      <c r="K767" s="2">
        <v>153087.54999999999</v>
      </c>
      <c r="L767" s="2">
        <f>Raw_Sales_Data3[[#This Row],[Quantity]]*Raw_Sales_Data3[[#This Row],[Unit Price]]*(Raw_Sales_Data3[[#This Row],[Discount %]]/100)</f>
        <v>27015.45</v>
      </c>
      <c r="M767" t="str">
        <f>IF(COUNTIF(Raw_Sales_Data3[Order ID],Raw_Sales_Data3[[#This Row],[Order ID]])&gt;1,"Duplicate Order ID","Unique Order ID")</f>
        <v>Unique Order ID</v>
      </c>
    </row>
    <row r="768" spans="1:13" x14ac:dyDescent="0.3">
      <c r="A768" t="s">
        <v>810</v>
      </c>
      <c r="B768" s="1">
        <v>46059</v>
      </c>
      <c r="C768" t="s">
        <v>22</v>
      </c>
      <c r="D768" t="s">
        <v>23</v>
      </c>
      <c r="E768" t="s">
        <v>39</v>
      </c>
      <c r="F768" t="s">
        <v>14</v>
      </c>
      <c r="G768" t="s">
        <v>125</v>
      </c>
      <c r="H768" s="5">
        <v>8</v>
      </c>
      <c r="I768" s="3">
        <v>28951</v>
      </c>
      <c r="J768" s="10">
        <v>0</v>
      </c>
      <c r="K768" s="2">
        <v>231608</v>
      </c>
      <c r="L768" s="2">
        <f>Raw_Sales_Data3[[#This Row],[Quantity]]*Raw_Sales_Data3[[#This Row],[Unit Price]]*(Raw_Sales_Data3[[#This Row],[Discount %]]/100)</f>
        <v>0</v>
      </c>
      <c r="M768" t="str">
        <f>IF(COUNTIF(Raw_Sales_Data3[Order ID],Raw_Sales_Data3[[#This Row],[Order ID]])&gt;1,"Duplicate Order ID","Unique Order ID")</f>
        <v>Unique Order ID</v>
      </c>
    </row>
    <row r="769" spans="1:13" x14ac:dyDescent="0.3">
      <c r="A769" t="s">
        <v>811</v>
      </c>
      <c r="B769" s="1">
        <v>46083</v>
      </c>
      <c r="C769" t="s">
        <v>91</v>
      </c>
      <c r="D769" t="s">
        <v>70</v>
      </c>
      <c r="E769" t="s">
        <v>39</v>
      </c>
      <c r="F769" t="s">
        <v>19</v>
      </c>
      <c r="G769" t="s">
        <v>1038</v>
      </c>
      <c r="H769" s="5">
        <v>11</v>
      </c>
      <c r="I769" s="3">
        <v>19438</v>
      </c>
      <c r="J769" s="10">
        <v>10</v>
      </c>
      <c r="K769" s="2">
        <v>192436.2</v>
      </c>
      <c r="L769" s="2">
        <f>Raw_Sales_Data3[[#This Row],[Quantity]]*Raw_Sales_Data3[[#This Row],[Unit Price]]*(Raw_Sales_Data3[[#This Row],[Discount %]]/100)</f>
        <v>21381.800000000003</v>
      </c>
      <c r="M769" t="str">
        <f>IF(COUNTIF(Raw_Sales_Data3[Order ID],Raw_Sales_Data3[[#This Row],[Order ID]])&gt;1,"Duplicate Order ID","Unique Order ID")</f>
        <v>Unique Order ID</v>
      </c>
    </row>
    <row r="770" spans="1:13" x14ac:dyDescent="0.3">
      <c r="A770" t="s">
        <v>812</v>
      </c>
      <c r="B770" s="1">
        <v>46087</v>
      </c>
      <c r="C770" t="s">
        <v>48</v>
      </c>
      <c r="D770" t="s">
        <v>70</v>
      </c>
      <c r="E770" t="s">
        <v>34</v>
      </c>
      <c r="F770" t="s">
        <v>14</v>
      </c>
      <c r="G770" t="s">
        <v>15</v>
      </c>
      <c r="H770" s="5">
        <v>14</v>
      </c>
      <c r="I770" s="3">
        <v>42276</v>
      </c>
      <c r="J770" s="10">
        <v>5</v>
      </c>
      <c r="K770" s="2">
        <v>562270.80000000005</v>
      </c>
      <c r="L770" s="2">
        <f>Raw_Sales_Data3[[#This Row],[Quantity]]*Raw_Sales_Data3[[#This Row],[Unit Price]]*(Raw_Sales_Data3[[#This Row],[Discount %]]/100)</f>
        <v>29593.200000000001</v>
      </c>
      <c r="M770" t="str">
        <f>IF(COUNTIF(Raw_Sales_Data3[Order ID],Raw_Sales_Data3[[#This Row],[Order ID]])&gt;1,"Duplicate Order ID","Unique Order ID")</f>
        <v>Unique Order ID</v>
      </c>
    </row>
    <row r="771" spans="1:13" x14ac:dyDescent="0.3">
      <c r="A771" t="s">
        <v>813</v>
      </c>
      <c r="B771" s="1">
        <v>46046</v>
      </c>
      <c r="C771" t="s">
        <v>42</v>
      </c>
      <c r="D771" t="s">
        <v>23</v>
      </c>
      <c r="E771" t="s">
        <v>13</v>
      </c>
      <c r="F771" t="s">
        <v>14</v>
      </c>
      <c r="G771" t="s">
        <v>51</v>
      </c>
      <c r="H771" s="5">
        <v>8</v>
      </c>
      <c r="I771" s="3">
        <v>39617</v>
      </c>
      <c r="J771" s="10">
        <v>0</v>
      </c>
      <c r="K771" s="2">
        <v>316936</v>
      </c>
      <c r="L771" s="2">
        <f>Raw_Sales_Data3[[#This Row],[Quantity]]*Raw_Sales_Data3[[#This Row],[Unit Price]]*(Raw_Sales_Data3[[#This Row],[Discount %]]/100)</f>
        <v>0</v>
      </c>
      <c r="M771" t="str">
        <f>IF(COUNTIF(Raw_Sales_Data3[Order ID],Raw_Sales_Data3[[#This Row],[Order ID]])&gt;1,"Duplicate Order ID","Unique Order ID")</f>
        <v>Unique Order ID</v>
      </c>
    </row>
    <row r="772" spans="1:13" x14ac:dyDescent="0.3">
      <c r="A772" t="s">
        <v>814</v>
      </c>
      <c r="B772" s="1">
        <v>46083</v>
      </c>
      <c r="C772" t="s">
        <v>38</v>
      </c>
      <c r="D772" t="s">
        <v>70</v>
      </c>
      <c r="E772" t="s">
        <v>39</v>
      </c>
      <c r="F772" t="s">
        <v>24</v>
      </c>
      <c r="G772" t="s">
        <v>77</v>
      </c>
      <c r="H772" s="5">
        <v>4</v>
      </c>
      <c r="I772" s="3">
        <v>7558</v>
      </c>
      <c r="J772" s="10">
        <v>15</v>
      </c>
      <c r="K772" s="2">
        <v>25697.200000000001</v>
      </c>
      <c r="L772" s="2">
        <f>Raw_Sales_Data3[[#This Row],[Quantity]]*Raw_Sales_Data3[[#This Row],[Unit Price]]*(Raw_Sales_Data3[[#This Row],[Discount %]]/100)</f>
        <v>4534.8</v>
      </c>
      <c r="M772" t="str">
        <f>IF(COUNTIF(Raw_Sales_Data3[Order ID],Raw_Sales_Data3[[#This Row],[Order ID]])&gt;1,"Duplicate Order ID","Unique Order ID")</f>
        <v>Unique Order ID</v>
      </c>
    </row>
    <row r="773" spans="1:13" x14ac:dyDescent="0.3">
      <c r="A773" t="s">
        <v>815</v>
      </c>
      <c r="B773" s="1">
        <v>46081</v>
      </c>
      <c r="C773" t="s">
        <v>64</v>
      </c>
      <c r="D773" t="s">
        <v>23</v>
      </c>
      <c r="E773" t="s">
        <v>39</v>
      </c>
      <c r="F773" t="s">
        <v>24</v>
      </c>
      <c r="G773" t="s">
        <v>53</v>
      </c>
      <c r="H773" s="5">
        <v>8</v>
      </c>
      <c r="I773" s="3">
        <v>57514</v>
      </c>
      <c r="J773" s="10">
        <v>0</v>
      </c>
      <c r="K773" s="2">
        <v>437106.4</v>
      </c>
      <c r="L773" s="2">
        <f>Raw_Sales_Data3[[#This Row],[Quantity]]*Raw_Sales_Data3[[#This Row],[Unit Price]]*(Raw_Sales_Data3[[#This Row],[Discount %]]/100)</f>
        <v>0</v>
      </c>
      <c r="M773" t="str">
        <f>IF(COUNTIF(Raw_Sales_Data3[Order ID],Raw_Sales_Data3[[#This Row],[Order ID]])&gt;1,"Duplicate Order ID","Unique Order ID")</f>
        <v>Unique Order ID</v>
      </c>
    </row>
    <row r="774" spans="1:13" x14ac:dyDescent="0.3">
      <c r="A774" t="s">
        <v>816</v>
      </c>
      <c r="B774" s="1">
        <v>46067</v>
      </c>
      <c r="C774" t="s">
        <v>36</v>
      </c>
      <c r="D774" t="s">
        <v>58</v>
      </c>
      <c r="E774" t="s">
        <v>34</v>
      </c>
      <c r="F774" t="s">
        <v>19</v>
      </c>
      <c r="G774" t="s">
        <v>20</v>
      </c>
      <c r="H774" s="5">
        <v>5</v>
      </c>
      <c r="I774" s="3">
        <v>46267</v>
      </c>
      <c r="J774" s="10">
        <v>10</v>
      </c>
      <c r="K774" s="2">
        <v>208201.5</v>
      </c>
      <c r="L774" s="2">
        <f>Raw_Sales_Data3[[#This Row],[Quantity]]*Raw_Sales_Data3[[#This Row],[Unit Price]]*(Raw_Sales_Data3[[#This Row],[Discount %]]/100)</f>
        <v>23133.5</v>
      </c>
      <c r="M774" t="str">
        <f>IF(COUNTIF(Raw_Sales_Data3[Order ID],Raw_Sales_Data3[[#This Row],[Order ID]])&gt;1,"Duplicate Order ID","Unique Order ID")</f>
        <v>Unique Order ID</v>
      </c>
    </row>
    <row r="775" spans="1:13" x14ac:dyDescent="0.3">
      <c r="A775" t="s">
        <v>817</v>
      </c>
      <c r="B775" s="1">
        <v>46092</v>
      </c>
      <c r="C775" t="s">
        <v>69</v>
      </c>
      <c r="D775" t="s">
        <v>43</v>
      </c>
      <c r="E775" t="s">
        <v>13</v>
      </c>
      <c r="F775" t="s">
        <v>24</v>
      </c>
      <c r="G775" t="s">
        <v>71</v>
      </c>
      <c r="H775" s="5">
        <v>6</v>
      </c>
      <c r="I775" s="3">
        <v>19695</v>
      </c>
      <c r="J775" s="10">
        <v>0</v>
      </c>
      <c r="K775" s="2">
        <v>94536</v>
      </c>
      <c r="L775" s="2">
        <f>Raw_Sales_Data3[[#This Row],[Quantity]]*Raw_Sales_Data3[[#This Row],[Unit Price]]*(Raw_Sales_Data3[[#This Row],[Discount %]]/100)</f>
        <v>0</v>
      </c>
      <c r="M775" t="str">
        <f>IF(COUNTIF(Raw_Sales_Data3[Order ID],Raw_Sales_Data3[[#This Row],[Order ID]])&gt;1,"Duplicate Order ID","Unique Order ID")</f>
        <v>Unique Order ID</v>
      </c>
    </row>
    <row r="776" spans="1:13" x14ac:dyDescent="0.3">
      <c r="A776" t="s">
        <v>818</v>
      </c>
      <c r="B776" s="1">
        <v>46072</v>
      </c>
      <c r="C776" t="s">
        <v>123</v>
      </c>
      <c r="D776" t="s">
        <v>70</v>
      </c>
      <c r="E776" t="s">
        <v>39</v>
      </c>
      <c r="F776" t="s">
        <v>19</v>
      </c>
      <c r="G776" t="s">
        <v>1038</v>
      </c>
      <c r="H776" s="5">
        <v>9</v>
      </c>
      <c r="I776" s="3">
        <v>55734</v>
      </c>
      <c r="J776" s="10">
        <v>20</v>
      </c>
      <c r="K776" s="2">
        <v>401284.8</v>
      </c>
      <c r="L776" s="2">
        <f>Raw_Sales_Data3[[#This Row],[Quantity]]*Raw_Sales_Data3[[#This Row],[Unit Price]]*(Raw_Sales_Data3[[#This Row],[Discount %]]/100)</f>
        <v>100321.20000000001</v>
      </c>
      <c r="M776" t="str">
        <f>IF(COUNTIF(Raw_Sales_Data3[Order ID],Raw_Sales_Data3[[#This Row],[Order ID]])&gt;1,"Duplicate Order ID","Unique Order ID")</f>
        <v>Unique Order ID</v>
      </c>
    </row>
    <row r="777" spans="1:13" x14ac:dyDescent="0.3">
      <c r="A777" t="s">
        <v>819</v>
      </c>
      <c r="B777" s="1">
        <v>46072</v>
      </c>
      <c r="C777" t="s">
        <v>17</v>
      </c>
      <c r="D777" t="s">
        <v>23</v>
      </c>
      <c r="E777" t="s">
        <v>28</v>
      </c>
      <c r="F777" t="s">
        <v>14</v>
      </c>
      <c r="G777" t="s">
        <v>15</v>
      </c>
      <c r="H777" s="5">
        <v>7</v>
      </c>
      <c r="I777" s="3">
        <v>8776</v>
      </c>
      <c r="J777" s="10">
        <v>15</v>
      </c>
      <c r="K777" s="2">
        <v>52217.2</v>
      </c>
      <c r="L777" s="2">
        <f>Raw_Sales_Data3[[#This Row],[Quantity]]*Raw_Sales_Data3[[#This Row],[Unit Price]]*(Raw_Sales_Data3[[#This Row],[Discount %]]/100)</f>
        <v>9214.7999999999993</v>
      </c>
      <c r="M777" t="str">
        <f>IF(COUNTIF(Raw_Sales_Data3[Order ID],Raw_Sales_Data3[[#This Row],[Order ID]])&gt;1,"Duplicate Order ID","Unique Order ID")</f>
        <v>Unique Order ID</v>
      </c>
    </row>
    <row r="778" spans="1:13" x14ac:dyDescent="0.3">
      <c r="A778" t="s">
        <v>820</v>
      </c>
      <c r="B778" s="1">
        <v>46031</v>
      </c>
      <c r="C778" t="s">
        <v>48</v>
      </c>
      <c r="D778" t="s">
        <v>70</v>
      </c>
      <c r="E778" t="s">
        <v>18</v>
      </c>
      <c r="F778" t="s">
        <v>24</v>
      </c>
      <c r="G778" t="s">
        <v>25</v>
      </c>
      <c r="H778" s="5">
        <v>10</v>
      </c>
      <c r="I778" s="3">
        <v>13767</v>
      </c>
      <c r="J778" s="10">
        <v>0</v>
      </c>
      <c r="K778" s="2">
        <v>137670</v>
      </c>
      <c r="L778" s="2">
        <f>Raw_Sales_Data3[[#This Row],[Quantity]]*Raw_Sales_Data3[[#This Row],[Unit Price]]*(Raw_Sales_Data3[[#This Row],[Discount %]]/100)</f>
        <v>0</v>
      </c>
      <c r="M778" t="str">
        <f>IF(COUNTIF(Raw_Sales_Data3[Order ID],Raw_Sales_Data3[[#This Row],[Order ID]])&gt;1,"Duplicate Order ID","Unique Order ID")</f>
        <v>Unique Order ID</v>
      </c>
    </row>
    <row r="779" spans="1:13" x14ac:dyDescent="0.3">
      <c r="A779" t="s">
        <v>821</v>
      </c>
      <c r="B779" s="1">
        <v>46033</v>
      </c>
      <c r="C779" t="s">
        <v>17</v>
      </c>
      <c r="D779" t="s">
        <v>58</v>
      </c>
      <c r="E779" t="s">
        <v>34</v>
      </c>
      <c r="F779" t="s">
        <v>19</v>
      </c>
      <c r="G779" t="s">
        <v>1038</v>
      </c>
      <c r="H779" s="5">
        <v>11</v>
      </c>
      <c r="I779" s="3">
        <v>58669</v>
      </c>
      <c r="J779" s="10">
        <v>0</v>
      </c>
      <c r="K779" s="2">
        <v>645359</v>
      </c>
      <c r="L779" s="2">
        <f>Raw_Sales_Data3[[#This Row],[Quantity]]*Raw_Sales_Data3[[#This Row],[Unit Price]]*(Raw_Sales_Data3[[#This Row],[Discount %]]/100)</f>
        <v>0</v>
      </c>
      <c r="M779" t="str">
        <f>IF(COUNTIF(Raw_Sales_Data3[Order ID],Raw_Sales_Data3[[#This Row],[Order ID]])&gt;1,"Duplicate Order ID","Unique Order ID")</f>
        <v>Unique Order ID</v>
      </c>
    </row>
    <row r="780" spans="1:13" x14ac:dyDescent="0.3">
      <c r="A780" t="s">
        <v>822</v>
      </c>
      <c r="B780" s="1">
        <v>46077</v>
      </c>
      <c r="C780" t="s">
        <v>86</v>
      </c>
      <c r="D780" t="s">
        <v>58</v>
      </c>
      <c r="E780" t="s">
        <v>13</v>
      </c>
      <c r="F780" t="s">
        <v>19</v>
      </c>
      <c r="G780" t="s">
        <v>79</v>
      </c>
      <c r="H780" s="5">
        <v>9</v>
      </c>
      <c r="I780" s="3">
        <v>20918</v>
      </c>
      <c r="J780" s="10">
        <v>0</v>
      </c>
      <c r="K780" s="2">
        <v>188262</v>
      </c>
      <c r="L780" s="2">
        <f>Raw_Sales_Data3[[#This Row],[Quantity]]*Raw_Sales_Data3[[#This Row],[Unit Price]]*(Raw_Sales_Data3[[#This Row],[Discount %]]/100)</f>
        <v>0</v>
      </c>
      <c r="M780" t="str">
        <f>IF(COUNTIF(Raw_Sales_Data3[Order ID],Raw_Sales_Data3[[#This Row],[Order ID]])&gt;1,"Duplicate Order ID","Unique Order ID")</f>
        <v>Unique Order ID</v>
      </c>
    </row>
    <row r="781" spans="1:13" x14ac:dyDescent="0.3">
      <c r="A781" t="s">
        <v>823</v>
      </c>
      <c r="B781" s="1">
        <v>46041</v>
      </c>
      <c r="C781" t="s">
        <v>27</v>
      </c>
      <c r="D781" t="s">
        <v>58</v>
      </c>
      <c r="E781" t="s">
        <v>18</v>
      </c>
      <c r="F781" t="s">
        <v>24</v>
      </c>
      <c r="G781" t="s">
        <v>77</v>
      </c>
      <c r="H781" s="5">
        <v>15</v>
      </c>
      <c r="I781" s="3">
        <v>27585</v>
      </c>
      <c r="J781" s="10">
        <v>15</v>
      </c>
      <c r="K781" s="2">
        <v>351708.75</v>
      </c>
      <c r="L781" s="2">
        <f>Raw_Sales_Data3[[#This Row],[Quantity]]*Raw_Sales_Data3[[#This Row],[Unit Price]]*(Raw_Sales_Data3[[#This Row],[Discount %]]/100)</f>
        <v>62066.25</v>
      </c>
      <c r="M781" t="str">
        <f>IF(COUNTIF(Raw_Sales_Data3[Order ID],Raw_Sales_Data3[[#This Row],[Order ID]])&gt;1,"Duplicate Order ID","Unique Order ID")</f>
        <v>Unique Order ID</v>
      </c>
    </row>
    <row r="782" spans="1:13" x14ac:dyDescent="0.3">
      <c r="A782" t="s">
        <v>824</v>
      </c>
      <c r="B782" s="1">
        <v>46054</v>
      </c>
      <c r="C782" t="s">
        <v>22</v>
      </c>
      <c r="D782" t="s">
        <v>23</v>
      </c>
      <c r="E782" t="s">
        <v>28</v>
      </c>
      <c r="F782" t="s">
        <v>19</v>
      </c>
      <c r="G782" t="s">
        <v>20</v>
      </c>
      <c r="H782" s="5">
        <v>14</v>
      </c>
      <c r="I782" s="3">
        <v>18514</v>
      </c>
      <c r="J782" s="10">
        <v>20</v>
      </c>
      <c r="K782" s="2">
        <v>207356.79999999999</v>
      </c>
      <c r="L782" s="2">
        <f>Raw_Sales_Data3[[#This Row],[Quantity]]*Raw_Sales_Data3[[#This Row],[Unit Price]]*(Raw_Sales_Data3[[#This Row],[Discount %]]/100)</f>
        <v>51839.200000000004</v>
      </c>
      <c r="M782" t="str">
        <f>IF(COUNTIF(Raw_Sales_Data3[Order ID],Raw_Sales_Data3[[#This Row],[Order ID]])&gt;1,"Duplicate Order ID","Unique Order ID")</f>
        <v>Unique Order ID</v>
      </c>
    </row>
    <row r="783" spans="1:13" x14ac:dyDescent="0.3">
      <c r="A783" t="s">
        <v>825</v>
      </c>
      <c r="B783" s="1">
        <v>46072</v>
      </c>
      <c r="C783" t="s">
        <v>69</v>
      </c>
      <c r="D783" t="s">
        <v>70</v>
      </c>
      <c r="E783" t="s">
        <v>18</v>
      </c>
      <c r="F783" t="s">
        <v>19</v>
      </c>
      <c r="G783" t="s">
        <v>117</v>
      </c>
      <c r="H783" s="5">
        <v>5</v>
      </c>
      <c r="I783" s="3">
        <v>7035</v>
      </c>
      <c r="J783" s="10">
        <v>5</v>
      </c>
      <c r="K783" s="2">
        <v>33416.25</v>
      </c>
      <c r="L783" s="2">
        <f>Raw_Sales_Data3[[#This Row],[Quantity]]*Raw_Sales_Data3[[#This Row],[Unit Price]]*(Raw_Sales_Data3[[#This Row],[Discount %]]/100)</f>
        <v>1758.75</v>
      </c>
      <c r="M783" t="str">
        <f>IF(COUNTIF(Raw_Sales_Data3[Order ID],Raw_Sales_Data3[[#This Row],[Order ID]])&gt;1,"Duplicate Order ID","Unique Order ID")</f>
        <v>Unique Order ID</v>
      </c>
    </row>
    <row r="784" spans="1:13" x14ac:dyDescent="0.3">
      <c r="A784" t="s">
        <v>826</v>
      </c>
      <c r="B784" s="1">
        <v>46065</v>
      </c>
      <c r="C784" t="s">
        <v>33</v>
      </c>
      <c r="D784" t="s">
        <v>23</v>
      </c>
      <c r="E784" t="s">
        <v>28</v>
      </c>
      <c r="F784" t="s">
        <v>19</v>
      </c>
      <c r="G784" t="s">
        <v>1038</v>
      </c>
      <c r="H784" s="5">
        <v>10</v>
      </c>
      <c r="I784" s="3">
        <v>49271</v>
      </c>
      <c r="J784" s="10">
        <v>0</v>
      </c>
      <c r="K784" s="2">
        <v>492710</v>
      </c>
      <c r="L784" s="2">
        <f>Raw_Sales_Data3[[#This Row],[Quantity]]*Raw_Sales_Data3[[#This Row],[Unit Price]]*(Raw_Sales_Data3[[#This Row],[Discount %]]/100)</f>
        <v>0</v>
      </c>
      <c r="M784" t="str">
        <f>IF(COUNTIF(Raw_Sales_Data3[Order ID],Raw_Sales_Data3[[#This Row],[Order ID]])&gt;1,"Duplicate Order ID","Unique Order ID")</f>
        <v>Unique Order ID</v>
      </c>
    </row>
    <row r="785" spans="1:13" x14ac:dyDescent="0.3">
      <c r="A785" t="s">
        <v>827</v>
      </c>
      <c r="B785" s="1">
        <v>46045</v>
      </c>
      <c r="C785" t="s">
        <v>36</v>
      </c>
      <c r="D785" t="s">
        <v>23</v>
      </c>
      <c r="E785" t="s">
        <v>34</v>
      </c>
      <c r="F785" t="s">
        <v>14</v>
      </c>
      <c r="G785" t="s">
        <v>51</v>
      </c>
      <c r="H785" s="5">
        <v>12</v>
      </c>
      <c r="I785" s="3">
        <v>54655</v>
      </c>
      <c r="J785" s="10">
        <v>20</v>
      </c>
      <c r="K785" s="2">
        <v>524688</v>
      </c>
      <c r="L785" s="2">
        <f>Raw_Sales_Data3[[#This Row],[Quantity]]*Raw_Sales_Data3[[#This Row],[Unit Price]]*(Raw_Sales_Data3[[#This Row],[Discount %]]/100)</f>
        <v>131172</v>
      </c>
      <c r="M785" t="str">
        <f>IF(COUNTIF(Raw_Sales_Data3[Order ID],Raw_Sales_Data3[[#This Row],[Order ID]])&gt;1,"Duplicate Order ID","Unique Order ID")</f>
        <v>Unique Order ID</v>
      </c>
    </row>
    <row r="786" spans="1:13" x14ac:dyDescent="0.3">
      <c r="A786" t="s">
        <v>828</v>
      </c>
      <c r="B786" s="1">
        <v>46028</v>
      </c>
      <c r="C786" t="s">
        <v>27</v>
      </c>
      <c r="D786" t="s">
        <v>58</v>
      </c>
      <c r="E786" t="s">
        <v>34</v>
      </c>
      <c r="F786" t="s">
        <v>24</v>
      </c>
      <c r="G786" t="s">
        <v>29</v>
      </c>
      <c r="H786" s="5">
        <v>14</v>
      </c>
      <c r="I786" s="3">
        <v>1133</v>
      </c>
      <c r="J786" s="10">
        <v>10</v>
      </c>
      <c r="K786" s="2">
        <v>14275.8</v>
      </c>
      <c r="L786" s="2">
        <f>Raw_Sales_Data3[[#This Row],[Quantity]]*Raw_Sales_Data3[[#This Row],[Unit Price]]*(Raw_Sales_Data3[[#This Row],[Discount %]]/100)</f>
        <v>1586.2</v>
      </c>
      <c r="M786" t="str">
        <f>IF(COUNTIF(Raw_Sales_Data3[Order ID],Raw_Sales_Data3[[#This Row],[Order ID]])&gt;1,"Duplicate Order ID","Unique Order ID")</f>
        <v>Unique Order ID</v>
      </c>
    </row>
    <row r="787" spans="1:13" x14ac:dyDescent="0.3">
      <c r="A787" t="s">
        <v>829</v>
      </c>
      <c r="B787" s="1">
        <v>46068</v>
      </c>
      <c r="C787" t="s">
        <v>69</v>
      </c>
      <c r="D787" t="s">
        <v>70</v>
      </c>
      <c r="E787" t="s">
        <v>28</v>
      </c>
      <c r="F787" t="s">
        <v>24</v>
      </c>
      <c r="G787" t="s">
        <v>55</v>
      </c>
      <c r="H787" s="5">
        <v>8</v>
      </c>
      <c r="I787" s="3">
        <v>56402</v>
      </c>
      <c r="J787" s="10">
        <v>0</v>
      </c>
      <c r="K787" s="2">
        <v>451216</v>
      </c>
      <c r="L787" s="2">
        <f>Raw_Sales_Data3[[#This Row],[Quantity]]*Raw_Sales_Data3[[#This Row],[Unit Price]]*(Raw_Sales_Data3[[#This Row],[Discount %]]/100)</f>
        <v>0</v>
      </c>
      <c r="M787" t="str">
        <f>IF(COUNTIF(Raw_Sales_Data3[Order ID],Raw_Sales_Data3[[#This Row],[Order ID]])&gt;1,"Duplicate Order ID","Unique Order ID")</f>
        <v>Unique Order ID</v>
      </c>
    </row>
    <row r="788" spans="1:13" x14ac:dyDescent="0.3">
      <c r="A788" t="s">
        <v>830</v>
      </c>
      <c r="B788" s="1">
        <v>46033</v>
      </c>
      <c r="C788" t="s">
        <v>57</v>
      </c>
      <c r="D788" t="s">
        <v>23</v>
      </c>
      <c r="E788" t="s">
        <v>39</v>
      </c>
      <c r="F788" t="s">
        <v>24</v>
      </c>
      <c r="G788" t="s">
        <v>25</v>
      </c>
      <c r="H788" s="5">
        <v>13</v>
      </c>
      <c r="I788" s="3">
        <v>21378</v>
      </c>
      <c r="J788" s="10">
        <v>10</v>
      </c>
      <c r="K788" s="2">
        <v>250122.6</v>
      </c>
      <c r="L788" s="2">
        <f>Raw_Sales_Data3[[#This Row],[Quantity]]*Raw_Sales_Data3[[#This Row],[Unit Price]]*(Raw_Sales_Data3[[#This Row],[Discount %]]/100)</f>
        <v>27791.4</v>
      </c>
      <c r="M788" t="str">
        <f>IF(COUNTIF(Raw_Sales_Data3[Order ID],Raw_Sales_Data3[[#This Row],[Order ID]])&gt;1,"Duplicate Order ID","Unique Order ID")</f>
        <v>Unique Order ID</v>
      </c>
    </row>
    <row r="789" spans="1:13" x14ac:dyDescent="0.3">
      <c r="A789" t="s">
        <v>831</v>
      </c>
      <c r="B789" s="1">
        <v>46064</v>
      </c>
      <c r="C789" t="s">
        <v>27</v>
      </c>
      <c r="D789" t="s">
        <v>58</v>
      </c>
      <c r="E789" t="s">
        <v>28</v>
      </c>
      <c r="F789" t="s">
        <v>14</v>
      </c>
      <c r="G789" t="s">
        <v>156</v>
      </c>
      <c r="H789" s="5">
        <v>9</v>
      </c>
      <c r="I789" s="3">
        <v>46405</v>
      </c>
      <c r="J789" s="10">
        <v>0</v>
      </c>
      <c r="K789" s="2">
        <v>417645</v>
      </c>
      <c r="L789" s="2">
        <f>Raw_Sales_Data3[[#This Row],[Quantity]]*Raw_Sales_Data3[[#This Row],[Unit Price]]*(Raw_Sales_Data3[[#This Row],[Discount %]]/100)</f>
        <v>0</v>
      </c>
      <c r="M789" t="str">
        <f>IF(COUNTIF(Raw_Sales_Data3[Order ID],Raw_Sales_Data3[[#This Row],[Order ID]])&gt;1,"Duplicate Order ID","Unique Order ID")</f>
        <v>Unique Order ID</v>
      </c>
    </row>
    <row r="790" spans="1:13" x14ac:dyDescent="0.3">
      <c r="A790" t="s">
        <v>832</v>
      </c>
      <c r="B790" s="1">
        <v>46071</v>
      </c>
      <c r="C790" t="s">
        <v>62</v>
      </c>
      <c r="D790" t="s">
        <v>70</v>
      </c>
      <c r="E790" t="s">
        <v>34</v>
      </c>
      <c r="F790" t="s">
        <v>24</v>
      </c>
      <c r="G790" t="s">
        <v>25</v>
      </c>
      <c r="H790" s="5">
        <v>8</v>
      </c>
      <c r="I790" s="3">
        <v>42823</v>
      </c>
      <c r="J790" s="10">
        <v>10</v>
      </c>
      <c r="K790" s="2">
        <v>308325.59999999998</v>
      </c>
      <c r="L790" s="2">
        <f>Raw_Sales_Data3[[#This Row],[Quantity]]*Raw_Sales_Data3[[#This Row],[Unit Price]]*(Raw_Sales_Data3[[#This Row],[Discount %]]/100)</f>
        <v>34258.400000000001</v>
      </c>
      <c r="M790" t="str">
        <f>IF(COUNTIF(Raw_Sales_Data3[Order ID],Raw_Sales_Data3[[#This Row],[Order ID]])&gt;1,"Duplicate Order ID","Unique Order ID")</f>
        <v>Unique Order ID</v>
      </c>
    </row>
    <row r="791" spans="1:13" x14ac:dyDescent="0.3">
      <c r="A791" t="s">
        <v>833</v>
      </c>
      <c r="B791" s="1">
        <v>46111</v>
      </c>
      <c r="C791" t="s">
        <v>64</v>
      </c>
      <c r="D791" t="s">
        <v>70</v>
      </c>
      <c r="E791" t="s">
        <v>39</v>
      </c>
      <c r="F791" t="s">
        <v>19</v>
      </c>
      <c r="G791" t="s">
        <v>46</v>
      </c>
      <c r="H791" s="5">
        <v>8</v>
      </c>
      <c r="I791" s="3">
        <v>58588</v>
      </c>
      <c r="J791" s="10">
        <v>0</v>
      </c>
      <c r="K791" s="2">
        <v>421833.6</v>
      </c>
      <c r="L791" s="2">
        <f>Raw_Sales_Data3[[#This Row],[Quantity]]*Raw_Sales_Data3[[#This Row],[Unit Price]]*(Raw_Sales_Data3[[#This Row],[Discount %]]/100)</f>
        <v>0</v>
      </c>
      <c r="M791" t="str">
        <f>IF(COUNTIF(Raw_Sales_Data3[Order ID],Raw_Sales_Data3[[#This Row],[Order ID]])&gt;1,"Duplicate Order ID","Unique Order ID")</f>
        <v>Unique Order ID</v>
      </c>
    </row>
    <row r="792" spans="1:13" x14ac:dyDescent="0.3">
      <c r="A792" t="s">
        <v>834</v>
      </c>
      <c r="B792" s="1">
        <v>46064</v>
      </c>
      <c r="C792" t="s">
        <v>12</v>
      </c>
      <c r="D792" t="s">
        <v>58</v>
      </c>
      <c r="E792" t="s">
        <v>39</v>
      </c>
      <c r="F792" t="s">
        <v>19</v>
      </c>
      <c r="G792" t="s">
        <v>46</v>
      </c>
      <c r="H792" s="5">
        <v>6</v>
      </c>
      <c r="I792" s="3">
        <v>44075</v>
      </c>
      <c r="J792" s="10">
        <v>0</v>
      </c>
      <c r="K792" s="2">
        <v>264450</v>
      </c>
      <c r="L792" s="2">
        <f>Raw_Sales_Data3[[#This Row],[Quantity]]*Raw_Sales_Data3[[#This Row],[Unit Price]]*(Raw_Sales_Data3[[#This Row],[Discount %]]/100)</f>
        <v>0</v>
      </c>
      <c r="M792" t="str">
        <f>IF(COUNTIF(Raw_Sales_Data3[Order ID],Raw_Sales_Data3[[#This Row],[Order ID]])&gt;1,"Duplicate Order ID","Unique Order ID")</f>
        <v>Unique Order ID</v>
      </c>
    </row>
    <row r="793" spans="1:13" x14ac:dyDescent="0.3">
      <c r="A793" t="s">
        <v>835</v>
      </c>
      <c r="B793" s="1">
        <v>46090</v>
      </c>
      <c r="C793" t="s">
        <v>57</v>
      </c>
      <c r="D793" t="s">
        <v>23</v>
      </c>
      <c r="E793" t="s">
        <v>34</v>
      </c>
      <c r="F793" t="s">
        <v>14</v>
      </c>
      <c r="G793" t="s">
        <v>51</v>
      </c>
      <c r="H793" s="5">
        <v>9</v>
      </c>
      <c r="I793" s="3">
        <v>52118</v>
      </c>
      <c r="J793" s="10">
        <v>5</v>
      </c>
      <c r="K793" s="2">
        <v>445608.9</v>
      </c>
      <c r="L793" s="2">
        <f>Raw_Sales_Data3[[#This Row],[Quantity]]*Raw_Sales_Data3[[#This Row],[Unit Price]]*(Raw_Sales_Data3[[#This Row],[Discount %]]/100)</f>
        <v>23453.100000000002</v>
      </c>
      <c r="M793" t="str">
        <f>IF(COUNTIF(Raw_Sales_Data3[Order ID],Raw_Sales_Data3[[#This Row],[Order ID]])&gt;1,"Duplicate Order ID","Unique Order ID")</f>
        <v>Unique Order ID</v>
      </c>
    </row>
    <row r="794" spans="1:13" x14ac:dyDescent="0.3">
      <c r="A794" t="s">
        <v>836</v>
      </c>
      <c r="B794" s="1"/>
      <c r="C794" t="s">
        <v>69</v>
      </c>
      <c r="D794" t="s">
        <v>58</v>
      </c>
      <c r="E794" t="s">
        <v>13</v>
      </c>
      <c r="F794" t="s">
        <v>19</v>
      </c>
      <c r="G794" t="s">
        <v>147</v>
      </c>
      <c r="H794" s="5">
        <v>9</v>
      </c>
      <c r="I794" s="3">
        <v>19454</v>
      </c>
      <c r="J794" s="10">
        <v>15</v>
      </c>
      <c r="K794" s="2">
        <v>148823.1</v>
      </c>
      <c r="L794" s="2">
        <f>Raw_Sales_Data3[[#This Row],[Quantity]]*Raw_Sales_Data3[[#This Row],[Unit Price]]*(Raw_Sales_Data3[[#This Row],[Discount %]]/100)</f>
        <v>26262.899999999998</v>
      </c>
      <c r="M794" t="str">
        <f>IF(COUNTIF(Raw_Sales_Data3[Order ID],Raw_Sales_Data3[[#This Row],[Order ID]])&gt;1,"Duplicate Order ID","Unique Order ID")</f>
        <v>Unique Order ID</v>
      </c>
    </row>
    <row r="795" spans="1:13" x14ac:dyDescent="0.3">
      <c r="A795" t="s">
        <v>837</v>
      </c>
      <c r="B795" s="1">
        <v>46089</v>
      </c>
      <c r="C795" t="s">
        <v>45</v>
      </c>
      <c r="D795" t="s">
        <v>58</v>
      </c>
      <c r="E795" t="s">
        <v>13</v>
      </c>
      <c r="F795" t="s">
        <v>24</v>
      </c>
      <c r="G795" t="s">
        <v>71</v>
      </c>
      <c r="H795" s="5">
        <v>15</v>
      </c>
      <c r="I795" s="3">
        <v>53548</v>
      </c>
      <c r="J795" s="10">
        <v>0</v>
      </c>
      <c r="K795" s="2">
        <v>803220</v>
      </c>
      <c r="L795" s="2">
        <f>Raw_Sales_Data3[[#This Row],[Quantity]]*Raw_Sales_Data3[[#This Row],[Unit Price]]*(Raw_Sales_Data3[[#This Row],[Discount %]]/100)</f>
        <v>0</v>
      </c>
      <c r="M795" t="str">
        <f>IF(COUNTIF(Raw_Sales_Data3[Order ID],Raw_Sales_Data3[[#This Row],[Order ID]])&gt;1,"Duplicate Order ID","Unique Order ID")</f>
        <v>Unique Order ID</v>
      </c>
    </row>
    <row r="796" spans="1:13" x14ac:dyDescent="0.3">
      <c r="A796" t="s">
        <v>838</v>
      </c>
      <c r="B796" s="1">
        <v>46032</v>
      </c>
      <c r="C796" t="s">
        <v>62</v>
      </c>
      <c r="D796" t="s">
        <v>70</v>
      </c>
      <c r="E796" t="s">
        <v>28</v>
      </c>
      <c r="F796" t="s">
        <v>24</v>
      </c>
      <c r="G796" t="s">
        <v>77</v>
      </c>
      <c r="H796" s="5">
        <v>12</v>
      </c>
      <c r="I796" s="3">
        <v>10610</v>
      </c>
      <c r="J796" s="10">
        <v>0</v>
      </c>
      <c r="K796" s="2">
        <v>127320</v>
      </c>
      <c r="L796" s="2">
        <f>Raw_Sales_Data3[[#This Row],[Quantity]]*Raw_Sales_Data3[[#This Row],[Unit Price]]*(Raw_Sales_Data3[[#This Row],[Discount %]]/100)</f>
        <v>0</v>
      </c>
      <c r="M796" t="str">
        <f>IF(COUNTIF(Raw_Sales_Data3[Order ID],Raw_Sales_Data3[[#This Row],[Order ID]])&gt;1,"Duplicate Order ID","Unique Order ID")</f>
        <v>Unique Order ID</v>
      </c>
    </row>
    <row r="797" spans="1:13" x14ac:dyDescent="0.3">
      <c r="A797" t="s">
        <v>839</v>
      </c>
      <c r="B797" s="1"/>
      <c r="C797" t="s">
        <v>57</v>
      </c>
      <c r="D797" t="s">
        <v>58</v>
      </c>
      <c r="E797" t="s">
        <v>39</v>
      </c>
      <c r="F797" t="s">
        <v>24</v>
      </c>
      <c r="G797" t="s">
        <v>55</v>
      </c>
      <c r="H797" s="5">
        <v>3</v>
      </c>
      <c r="I797" s="3">
        <v>37350</v>
      </c>
      <c r="J797" s="10">
        <v>0</v>
      </c>
      <c r="K797" s="2">
        <v>100845</v>
      </c>
      <c r="L797" s="2">
        <f>Raw_Sales_Data3[[#This Row],[Quantity]]*Raw_Sales_Data3[[#This Row],[Unit Price]]*(Raw_Sales_Data3[[#This Row],[Discount %]]/100)</f>
        <v>0</v>
      </c>
      <c r="M797" t="str">
        <f>IF(COUNTIF(Raw_Sales_Data3[Order ID],Raw_Sales_Data3[[#This Row],[Order ID]])&gt;1,"Duplicate Order ID","Unique Order ID")</f>
        <v>Unique Order ID</v>
      </c>
    </row>
    <row r="798" spans="1:13" x14ac:dyDescent="0.3">
      <c r="A798" t="s">
        <v>840</v>
      </c>
      <c r="B798" s="1">
        <v>46037</v>
      </c>
      <c r="C798" t="s">
        <v>50</v>
      </c>
      <c r="D798" t="s">
        <v>43</v>
      </c>
      <c r="E798" t="s">
        <v>39</v>
      </c>
      <c r="F798" t="s">
        <v>14</v>
      </c>
      <c r="G798" t="s">
        <v>73</v>
      </c>
      <c r="H798" s="5">
        <v>6</v>
      </c>
      <c r="I798" s="3">
        <v>3073</v>
      </c>
      <c r="J798" s="10">
        <v>5</v>
      </c>
      <c r="K798" s="2">
        <v>17516.099999999999</v>
      </c>
      <c r="L798" s="2">
        <f>Raw_Sales_Data3[[#This Row],[Quantity]]*Raw_Sales_Data3[[#This Row],[Unit Price]]*(Raw_Sales_Data3[[#This Row],[Discount %]]/100)</f>
        <v>921.90000000000009</v>
      </c>
      <c r="M798" t="str">
        <f>IF(COUNTIF(Raw_Sales_Data3[Order ID],Raw_Sales_Data3[[#This Row],[Order ID]])&gt;1,"Duplicate Order ID","Unique Order ID")</f>
        <v>Unique Order ID</v>
      </c>
    </row>
    <row r="799" spans="1:13" x14ac:dyDescent="0.3">
      <c r="A799" t="s">
        <v>841</v>
      </c>
      <c r="B799" s="1">
        <v>46053</v>
      </c>
      <c r="C799" t="s">
        <v>86</v>
      </c>
      <c r="D799" t="s">
        <v>58</v>
      </c>
      <c r="E799" t="s">
        <v>34</v>
      </c>
      <c r="F799" t="s">
        <v>24</v>
      </c>
      <c r="G799" t="s">
        <v>51</v>
      </c>
      <c r="H799" s="5">
        <v>13</v>
      </c>
      <c r="I799" s="3">
        <v>45892</v>
      </c>
      <c r="J799" s="10">
        <v>0</v>
      </c>
      <c r="K799" s="2">
        <v>596596</v>
      </c>
      <c r="L799" s="2">
        <f>Raw_Sales_Data3[[#This Row],[Quantity]]*Raw_Sales_Data3[[#This Row],[Unit Price]]*(Raw_Sales_Data3[[#This Row],[Discount %]]/100)</f>
        <v>0</v>
      </c>
      <c r="M799" t="str">
        <f>IF(COUNTIF(Raw_Sales_Data3[Order ID],Raw_Sales_Data3[[#This Row],[Order ID]])&gt;1,"Duplicate Order ID","Unique Order ID")</f>
        <v>Duplicate Order ID</v>
      </c>
    </row>
    <row r="800" spans="1:13" x14ac:dyDescent="0.3">
      <c r="A800" t="s">
        <v>841</v>
      </c>
      <c r="B800" s="1"/>
      <c r="C800" t="s">
        <v>42</v>
      </c>
      <c r="D800" t="s">
        <v>23</v>
      </c>
      <c r="E800" t="s">
        <v>39</v>
      </c>
      <c r="F800" t="s">
        <v>24</v>
      </c>
      <c r="G800" t="s">
        <v>55</v>
      </c>
      <c r="H800" s="5">
        <v>6</v>
      </c>
      <c r="I800" s="3">
        <v>31537</v>
      </c>
      <c r="J800" s="10">
        <v>0</v>
      </c>
      <c r="K800" s="2">
        <v>189222</v>
      </c>
      <c r="L800" s="2">
        <f>Raw_Sales_Data3[[#This Row],[Quantity]]*Raw_Sales_Data3[[#This Row],[Unit Price]]*(Raw_Sales_Data3[[#This Row],[Discount %]]/100)</f>
        <v>0</v>
      </c>
      <c r="M800" t="str">
        <f>IF(COUNTIF(Raw_Sales_Data3[Order ID],Raw_Sales_Data3[[#This Row],[Order ID]])&gt;1,"Duplicate Order ID","Unique Order ID")</f>
        <v>Duplicate Order ID</v>
      </c>
    </row>
    <row r="801" spans="1:13" x14ac:dyDescent="0.3">
      <c r="A801" t="s">
        <v>842</v>
      </c>
      <c r="B801" s="1">
        <v>46053</v>
      </c>
      <c r="C801" t="s">
        <v>89</v>
      </c>
      <c r="D801" t="s">
        <v>58</v>
      </c>
      <c r="E801" t="s">
        <v>39</v>
      </c>
      <c r="F801" t="s">
        <v>19</v>
      </c>
      <c r="G801" t="s">
        <v>120</v>
      </c>
      <c r="H801" s="5">
        <v>8</v>
      </c>
      <c r="I801" s="3">
        <v>15464</v>
      </c>
      <c r="J801" s="10">
        <v>0</v>
      </c>
      <c r="K801" s="2">
        <v>123712</v>
      </c>
      <c r="L801" s="2">
        <f>Raw_Sales_Data3[[#This Row],[Quantity]]*Raw_Sales_Data3[[#This Row],[Unit Price]]*(Raw_Sales_Data3[[#This Row],[Discount %]]/100)</f>
        <v>0</v>
      </c>
      <c r="M801" t="str">
        <f>IF(COUNTIF(Raw_Sales_Data3[Order ID],Raw_Sales_Data3[[#This Row],[Order ID]])&gt;1,"Duplicate Order ID","Unique Order ID")</f>
        <v>Unique Order ID</v>
      </c>
    </row>
    <row r="802" spans="1:13" x14ac:dyDescent="0.3">
      <c r="A802" t="s">
        <v>843</v>
      </c>
      <c r="B802" s="1">
        <v>46031</v>
      </c>
      <c r="C802" t="s">
        <v>50</v>
      </c>
      <c r="D802" t="s">
        <v>70</v>
      </c>
      <c r="E802" t="s">
        <v>13</v>
      </c>
      <c r="F802" t="s">
        <v>19</v>
      </c>
      <c r="G802" t="s">
        <v>46</v>
      </c>
      <c r="H802" s="5">
        <v>4</v>
      </c>
      <c r="I802" s="3">
        <v>37884</v>
      </c>
      <c r="J802" s="10">
        <v>20</v>
      </c>
      <c r="K802" s="2">
        <v>121228.8</v>
      </c>
      <c r="L802" s="2">
        <f>Raw_Sales_Data3[[#This Row],[Quantity]]*Raw_Sales_Data3[[#This Row],[Unit Price]]*(Raw_Sales_Data3[[#This Row],[Discount %]]/100)</f>
        <v>30307.200000000001</v>
      </c>
      <c r="M802" t="str">
        <f>IF(COUNTIF(Raw_Sales_Data3[Order ID],Raw_Sales_Data3[[#This Row],[Order ID]])&gt;1,"Duplicate Order ID","Unique Order ID")</f>
        <v>Unique Order ID</v>
      </c>
    </row>
    <row r="803" spans="1:13" x14ac:dyDescent="0.3">
      <c r="A803" t="s">
        <v>844</v>
      </c>
      <c r="B803" s="1">
        <v>46048</v>
      </c>
      <c r="C803" t="s">
        <v>27</v>
      </c>
      <c r="D803" t="s">
        <v>23</v>
      </c>
      <c r="E803" t="s">
        <v>18</v>
      </c>
      <c r="F803" t="s">
        <v>19</v>
      </c>
      <c r="G803" t="s">
        <v>20</v>
      </c>
      <c r="H803" s="5">
        <v>11</v>
      </c>
      <c r="I803" s="3">
        <v>34562</v>
      </c>
      <c r="J803" s="10">
        <v>5</v>
      </c>
      <c r="K803" s="2">
        <v>361172.9</v>
      </c>
      <c r="L803" s="2">
        <f>Raw_Sales_Data3[[#This Row],[Quantity]]*Raw_Sales_Data3[[#This Row],[Unit Price]]*(Raw_Sales_Data3[[#This Row],[Discount %]]/100)</f>
        <v>19009.100000000002</v>
      </c>
      <c r="M803" t="str">
        <f>IF(COUNTIF(Raw_Sales_Data3[Order ID],Raw_Sales_Data3[[#This Row],[Order ID]])&gt;1,"Duplicate Order ID","Unique Order ID")</f>
        <v>Unique Order ID</v>
      </c>
    </row>
    <row r="804" spans="1:13" x14ac:dyDescent="0.3">
      <c r="A804" t="s">
        <v>845</v>
      </c>
      <c r="B804" s="1">
        <v>46037</v>
      </c>
      <c r="C804" t="s">
        <v>45</v>
      </c>
      <c r="D804" t="s">
        <v>23</v>
      </c>
      <c r="E804" t="s">
        <v>13</v>
      </c>
      <c r="F804" t="s">
        <v>24</v>
      </c>
      <c r="G804" t="s">
        <v>55</v>
      </c>
      <c r="H804" s="5">
        <v>15</v>
      </c>
      <c r="I804" s="3">
        <v>34067</v>
      </c>
      <c r="J804" s="10">
        <v>10</v>
      </c>
      <c r="K804" s="2">
        <v>459904.5</v>
      </c>
      <c r="L804" s="2">
        <f>Raw_Sales_Data3[[#This Row],[Quantity]]*Raw_Sales_Data3[[#This Row],[Unit Price]]*(Raw_Sales_Data3[[#This Row],[Discount %]]/100)</f>
        <v>51100.5</v>
      </c>
      <c r="M804" t="str">
        <f>IF(COUNTIF(Raw_Sales_Data3[Order ID],Raw_Sales_Data3[[#This Row],[Order ID]])&gt;1,"Duplicate Order ID","Unique Order ID")</f>
        <v>Unique Order ID</v>
      </c>
    </row>
    <row r="805" spans="1:13" x14ac:dyDescent="0.3">
      <c r="A805" t="s">
        <v>846</v>
      </c>
      <c r="B805" s="1">
        <v>46051</v>
      </c>
      <c r="C805" t="s">
        <v>33</v>
      </c>
      <c r="D805" t="s">
        <v>58</v>
      </c>
      <c r="E805" t="s">
        <v>28</v>
      </c>
      <c r="F805" t="s">
        <v>14</v>
      </c>
      <c r="G805" t="s">
        <v>125</v>
      </c>
      <c r="H805" s="5">
        <v>3</v>
      </c>
      <c r="I805" s="3">
        <v>39784</v>
      </c>
      <c r="J805" s="10">
        <v>0</v>
      </c>
      <c r="K805" s="2">
        <v>119352</v>
      </c>
      <c r="L805" s="2">
        <f>Raw_Sales_Data3[[#This Row],[Quantity]]*Raw_Sales_Data3[[#This Row],[Unit Price]]*(Raw_Sales_Data3[[#This Row],[Discount %]]/100)</f>
        <v>0</v>
      </c>
      <c r="M805" t="str">
        <f>IF(COUNTIF(Raw_Sales_Data3[Order ID],Raw_Sales_Data3[[#This Row],[Order ID]])&gt;1,"Duplicate Order ID","Unique Order ID")</f>
        <v>Unique Order ID</v>
      </c>
    </row>
    <row r="806" spans="1:13" x14ac:dyDescent="0.3">
      <c r="A806" t="s">
        <v>847</v>
      </c>
      <c r="B806" s="1">
        <v>46080</v>
      </c>
      <c r="C806" t="s">
        <v>123</v>
      </c>
      <c r="D806" t="s">
        <v>23</v>
      </c>
      <c r="E806" t="s">
        <v>28</v>
      </c>
      <c r="F806" t="s">
        <v>24</v>
      </c>
      <c r="G806" t="s">
        <v>55</v>
      </c>
      <c r="H806" s="5">
        <v>6</v>
      </c>
      <c r="I806" s="3">
        <v>2763</v>
      </c>
      <c r="J806" s="10">
        <v>20</v>
      </c>
      <c r="K806" s="2">
        <v>13262.4</v>
      </c>
      <c r="L806" s="2">
        <f>Raw_Sales_Data3[[#This Row],[Quantity]]*Raw_Sales_Data3[[#This Row],[Unit Price]]*(Raw_Sales_Data3[[#This Row],[Discount %]]/100)</f>
        <v>3315.6000000000004</v>
      </c>
      <c r="M806" t="str">
        <f>IF(COUNTIF(Raw_Sales_Data3[Order ID],Raw_Sales_Data3[[#This Row],[Order ID]])&gt;1,"Duplicate Order ID","Unique Order ID")</f>
        <v>Unique Order ID</v>
      </c>
    </row>
    <row r="807" spans="1:13" x14ac:dyDescent="0.3">
      <c r="A807" t="s">
        <v>848</v>
      </c>
      <c r="B807" s="1">
        <v>46085</v>
      </c>
      <c r="C807" t="s">
        <v>69</v>
      </c>
      <c r="D807" t="s">
        <v>58</v>
      </c>
      <c r="E807" t="s">
        <v>28</v>
      </c>
      <c r="F807" t="s">
        <v>19</v>
      </c>
      <c r="G807" t="s">
        <v>77</v>
      </c>
      <c r="H807" s="5">
        <v>3</v>
      </c>
      <c r="I807" s="3">
        <v>45396</v>
      </c>
      <c r="J807" s="10">
        <v>15</v>
      </c>
      <c r="K807" s="2">
        <v>115759.8</v>
      </c>
      <c r="L807" s="2">
        <f>Raw_Sales_Data3[[#This Row],[Quantity]]*Raw_Sales_Data3[[#This Row],[Unit Price]]*(Raw_Sales_Data3[[#This Row],[Discount %]]/100)</f>
        <v>20428.2</v>
      </c>
      <c r="M807" t="str">
        <f>IF(COUNTIF(Raw_Sales_Data3[Order ID],Raw_Sales_Data3[[#This Row],[Order ID]])&gt;1,"Duplicate Order ID","Unique Order ID")</f>
        <v>Unique Order ID</v>
      </c>
    </row>
    <row r="808" spans="1:13" x14ac:dyDescent="0.3">
      <c r="A808" t="s">
        <v>849</v>
      </c>
      <c r="B808" s="1">
        <v>46048</v>
      </c>
      <c r="C808" t="s">
        <v>45</v>
      </c>
      <c r="D808" t="s">
        <v>43</v>
      </c>
      <c r="E808" t="s">
        <v>34</v>
      </c>
      <c r="F808" t="s">
        <v>14</v>
      </c>
      <c r="G808" t="s">
        <v>66</v>
      </c>
      <c r="H808" s="5">
        <v>15</v>
      </c>
      <c r="I808" s="3">
        <v>2755</v>
      </c>
      <c r="J808" s="10">
        <v>15</v>
      </c>
      <c r="K808" s="2">
        <v>35126.25</v>
      </c>
      <c r="L808" s="2">
        <f>Raw_Sales_Data3[[#This Row],[Quantity]]*Raw_Sales_Data3[[#This Row],[Unit Price]]*(Raw_Sales_Data3[[#This Row],[Discount %]]/100)</f>
        <v>6198.75</v>
      </c>
      <c r="M808" t="str">
        <f>IF(COUNTIF(Raw_Sales_Data3[Order ID],Raw_Sales_Data3[[#This Row],[Order ID]])&gt;1,"Duplicate Order ID","Unique Order ID")</f>
        <v>Unique Order ID</v>
      </c>
    </row>
    <row r="809" spans="1:13" x14ac:dyDescent="0.3">
      <c r="A809" t="s">
        <v>850</v>
      </c>
      <c r="B809" s="1">
        <v>46092</v>
      </c>
      <c r="C809" t="s">
        <v>36</v>
      </c>
      <c r="D809" t="s">
        <v>58</v>
      </c>
      <c r="E809" t="s">
        <v>28</v>
      </c>
      <c r="F809" t="s">
        <v>24</v>
      </c>
      <c r="G809" t="s">
        <v>53</v>
      </c>
      <c r="H809" s="5">
        <v>10</v>
      </c>
      <c r="I809" s="3">
        <v>52613</v>
      </c>
      <c r="J809" s="10">
        <v>5</v>
      </c>
      <c r="K809" s="2">
        <v>499823.5</v>
      </c>
      <c r="L809" s="2">
        <f>Raw_Sales_Data3[[#This Row],[Quantity]]*Raw_Sales_Data3[[#This Row],[Unit Price]]*(Raw_Sales_Data3[[#This Row],[Discount %]]/100)</f>
        <v>26306.5</v>
      </c>
      <c r="M809" t="str">
        <f>IF(COUNTIF(Raw_Sales_Data3[Order ID],Raw_Sales_Data3[[#This Row],[Order ID]])&gt;1,"Duplicate Order ID","Unique Order ID")</f>
        <v>Unique Order ID</v>
      </c>
    </row>
    <row r="810" spans="1:13" x14ac:dyDescent="0.3">
      <c r="A810" t="s">
        <v>851</v>
      </c>
      <c r="B810" s="1">
        <v>46097</v>
      </c>
      <c r="C810" t="s">
        <v>45</v>
      </c>
      <c r="D810" t="s">
        <v>43</v>
      </c>
      <c r="E810" t="s">
        <v>34</v>
      </c>
      <c r="F810" t="s">
        <v>19</v>
      </c>
      <c r="G810" t="s">
        <v>117</v>
      </c>
      <c r="H810" s="5">
        <v>3</v>
      </c>
      <c r="I810" s="3">
        <v>13828</v>
      </c>
      <c r="J810" s="10">
        <v>20</v>
      </c>
      <c r="K810" s="2">
        <v>33187.199999999997</v>
      </c>
      <c r="L810" s="2">
        <f>Raw_Sales_Data3[[#This Row],[Quantity]]*Raw_Sales_Data3[[#This Row],[Unit Price]]*(Raw_Sales_Data3[[#This Row],[Discount %]]/100)</f>
        <v>8296.8000000000011</v>
      </c>
      <c r="M810" t="str">
        <f>IF(COUNTIF(Raw_Sales_Data3[Order ID],Raw_Sales_Data3[[#This Row],[Order ID]])&gt;1,"Duplicate Order ID","Unique Order ID")</f>
        <v>Unique Order ID</v>
      </c>
    </row>
    <row r="811" spans="1:13" x14ac:dyDescent="0.3">
      <c r="A811" t="s">
        <v>852</v>
      </c>
      <c r="B811" s="1">
        <v>46074</v>
      </c>
      <c r="C811" t="s">
        <v>50</v>
      </c>
      <c r="D811" t="s">
        <v>58</v>
      </c>
      <c r="E811" t="s">
        <v>39</v>
      </c>
      <c r="F811" t="s">
        <v>14</v>
      </c>
      <c r="G811" t="s">
        <v>66</v>
      </c>
      <c r="H811" s="5">
        <v>14</v>
      </c>
      <c r="I811" s="3">
        <v>37999</v>
      </c>
      <c r="J811" s="10">
        <v>10</v>
      </c>
      <c r="K811" s="2">
        <v>478787.4</v>
      </c>
      <c r="L811" s="2">
        <f>Raw_Sales_Data3[[#This Row],[Quantity]]*Raw_Sales_Data3[[#This Row],[Unit Price]]*(Raw_Sales_Data3[[#This Row],[Discount %]]/100)</f>
        <v>53198.600000000006</v>
      </c>
      <c r="M811" t="str">
        <f>IF(COUNTIF(Raw_Sales_Data3[Order ID],Raw_Sales_Data3[[#This Row],[Order ID]])&gt;1,"Duplicate Order ID","Unique Order ID")</f>
        <v>Unique Order ID</v>
      </c>
    </row>
    <row r="812" spans="1:13" x14ac:dyDescent="0.3">
      <c r="A812" t="s">
        <v>853</v>
      </c>
      <c r="B812" s="1">
        <v>46104</v>
      </c>
      <c r="C812" t="s">
        <v>54</v>
      </c>
      <c r="D812" t="s">
        <v>43</v>
      </c>
      <c r="E812" t="s">
        <v>18</v>
      </c>
      <c r="F812" t="s">
        <v>14</v>
      </c>
      <c r="G812" t="s">
        <v>51</v>
      </c>
      <c r="H812" s="5">
        <v>9</v>
      </c>
      <c r="I812" s="3">
        <v>26133</v>
      </c>
      <c r="J812" s="10">
        <v>5</v>
      </c>
      <c r="K812" s="2">
        <v>223437.15</v>
      </c>
      <c r="L812" s="2">
        <f>Raw_Sales_Data3[[#This Row],[Quantity]]*Raw_Sales_Data3[[#This Row],[Unit Price]]*(Raw_Sales_Data3[[#This Row],[Discount %]]/100)</f>
        <v>11759.85</v>
      </c>
      <c r="M812" t="str">
        <f>IF(COUNTIF(Raw_Sales_Data3[Order ID],Raw_Sales_Data3[[#This Row],[Order ID]])&gt;1,"Duplicate Order ID","Unique Order ID")</f>
        <v>Duplicate Order ID</v>
      </c>
    </row>
    <row r="813" spans="1:13" x14ac:dyDescent="0.3">
      <c r="A813" t="s">
        <v>853</v>
      </c>
      <c r="B813" s="1">
        <v>46098</v>
      </c>
      <c r="C813" t="s">
        <v>62</v>
      </c>
      <c r="D813" t="s">
        <v>23</v>
      </c>
      <c r="E813" t="s">
        <v>28</v>
      </c>
      <c r="F813" t="s">
        <v>19</v>
      </c>
      <c r="G813" t="s">
        <v>1038</v>
      </c>
      <c r="H813" s="5">
        <v>12</v>
      </c>
      <c r="I813" s="3">
        <v>45143</v>
      </c>
      <c r="J813" s="10">
        <v>20</v>
      </c>
      <c r="K813" s="2">
        <v>433372.8</v>
      </c>
      <c r="L813" s="2">
        <f>Raw_Sales_Data3[[#This Row],[Quantity]]*Raw_Sales_Data3[[#This Row],[Unit Price]]*(Raw_Sales_Data3[[#This Row],[Discount %]]/100)</f>
        <v>108343.20000000001</v>
      </c>
      <c r="M813" t="str">
        <f>IF(COUNTIF(Raw_Sales_Data3[Order ID],Raw_Sales_Data3[[#This Row],[Order ID]])&gt;1,"Duplicate Order ID","Unique Order ID")</f>
        <v>Duplicate Order ID</v>
      </c>
    </row>
    <row r="814" spans="1:13" x14ac:dyDescent="0.3">
      <c r="A814" t="s">
        <v>854</v>
      </c>
      <c r="B814" s="1">
        <v>46080</v>
      </c>
      <c r="C814" t="s">
        <v>12</v>
      </c>
      <c r="D814" t="s">
        <v>23</v>
      </c>
      <c r="E814" t="s">
        <v>39</v>
      </c>
      <c r="F814" t="s">
        <v>24</v>
      </c>
      <c r="G814" t="s">
        <v>25</v>
      </c>
      <c r="H814" s="5">
        <v>4</v>
      </c>
      <c r="I814" s="3">
        <v>41643</v>
      </c>
      <c r="J814" s="10">
        <v>0</v>
      </c>
      <c r="K814" s="2">
        <v>166572</v>
      </c>
      <c r="L814" s="2">
        <f>Raw_Sales_Data3[[#This Row],[Quantity]]*Raw_Sales_Data3[[#This Row],[Unit Price]]*(Raw_Sales_Data3[[#This Row],[Discount %]]/100)</f>
        <v>0</v>
      </c>
      <c r="M814" t="str">
        <f>IF(COUNTIF(Raw_Sales_Data3[Order ID],Raw_Sales_Data3[[#This Row],[Order ID]])&gt;1,"Duplicate Order ID","Unique Order ID")</f>
        <v>Unique Order ID</v>
      </c>
    </row>
    <row r="815" spans="1:13" x14ac:dyDescent="0.3">
      <c r="A815" t="s">
        <v>855</v>
      </c>
      <c r="B815" s="1">
        <v>46055</v>
      </c>
      <c r="C815" t="s">
        <v>64</v>
      </c>
      <c r="D815" t="s">
        <v>70</v>
      </c>
      <c r="E815" t="s">
        <v>39</v>
      </c>
      <c r="F815" t="s">
        <v>19</v>
      </c>
      <c r="G815" t="s">
        <v>147</v>
      </c>
      <c r="H815" s="5">
        <v>2</v>
      </c>
      <c r="I815" s="3">
        <v>57363</v>
      </c>
      <c r="J815" s="10">
        <v>20</v>
      </c>
      <c r="K815" s="2">
        <v>91780.800000000003</v>
      </c>
      <c r="L815" s="2">
        <f>Raw_Sales_Data3[[#This Row],[Quantity]]*Raw_Sales_Data3[[#This Row],[Unit Price]]*(Raw_Sales_Data3[[#This Row],[Discount %]]/100)</f>
        <v>22945.200000000001</v>
      </c>
      <c r="M815" t="str">
        <f>IF(COUNTIF(Raw_Sales_Data3[Order ID],Raw_Sales_Data3[[#This Row],[Order ID]])&gt;1,"Duplicate Order ID","Unique Order ID")</f>
        <v>Unique Order ID</v>
      </c>
    </row>
    <row r="816" spans="1:13" x14ac:dyDescent="0.3">
      <c r="A816" t="s">
        <v>856</v>
      </c>
      <c r="B816" s="1">
        <v>46093</v>
      </c>
      <c r="C816" t="s">
        <v>42</v>
      </c>
      <c r="D816" t="s">
        <v>58</v>
      </c>
      <c r="E816" t="s">
        <v>28</v>
      </c>
      <c r="F816" t="s">
        <v>24</v>
      </c>
      <c r="G816" t="s">
        <v>77</v>
      </c>
      <c r="H816" s="5">
        <v>8</v>
      </c>
      <c r="I816" s="3">
        <v>47919</v>
      </c>
      <c r="J816" s="10">
        <v>5</v>
      </c>
      <c r="K816" s="2">
        <v>364184.4</v>
      </c>
      <c r="L816" s="2">
        <f>Raw_Sales_Data3[[#This Row],[Quantity]]*Raw_Sales_Data3[[#This Row],[Unit Price]]*(Raw_Sales_Data3[[#This Row],[Discount %]]/100)</f>
        <v>19167.600000000002</v>
      </c>
      <c r="M816" t="str">
        <f>IF(COUNTIF(Raw_Sales_Data3[Order ID],Raw_Sales_Data3[[#This Row],[Order ID]])&gt;1,"Duplicate Order ID","Unique Order ID")</f>
        <v>Unique Order ID</v>
      </c>
    </row>
    <row r="817" spans="1:13" x14ac:dyDescent="0.3">
      <c r="A817" t="s">
        <v>857</v>
      </c>
      <c r="B817" s="1">
        <v>46039</v>
      </c>
      <c r="C817" t="s">
        <v>69</v>
      </c>
      <c r="D817" t="s">
        <v>70</v>
      </c>
      <c r="E817" t="s">
        <v>13</v>
      </c>
      <c r="F817" t="s">
        <v>14</v>
      </c>
      <c r="G817" t="s">
        <v>66</v>
      </c>
      <c r="H817" s="5">
        <v>13</v>
      </c>
      <c r="I817" s="3">
        <v>49770</v>
      </c>
      <c r="J817" s="10">
        <v>0</v>
      </c>
      <c r="K817" s="2">
        <v>614659.5</v>
      </c>
      <c r="L817" s="2">
        <f>Raw_Sales_Data3[[#This Row],[Quantity]]*Raw_Sales_Data3[[#This Row],[Unit Price]]*(Raw_Sales_Data3[[#This Row],[Discount %]]/100)</f>
        <v>0</v>
      </c>
      <c r="M817" t="str">
        <f>IF(COUNTIF(Raw_Sales_Data3[Order ID],Raw_Sales_Data3[[#This Row],[Order ID]])&gt;1,"Duplicate Order ID","Unique Order ID")</f>
        <v>Duplicate Order ID</v>
      </c>
    </row>
    <row r="818" spans="1:13" x14ac:dyDescent="0.3">
      <c r="A818" t="s">
        <v>857</v>
      </c>
      <c r="B818" s="1">
        <v>46092</v>
      </c>
      <c r="C818" t="s">
        <v>48</v>
      </c>
      <c r="D818" t="s">
        <v>58</v>
      </c>
      <c r="E818" t="s">
        <v>39</v>
      </c>
      <c r="F818" t="s">
        <v>19</v>
      </c>
      <c r="G818" t="s">
        <v>79</v>
      </c>
      <c r="H818" s="5">
        <v>7</v>
      </c>
      <c r="I818" s="3">
        <v>30344</v>
      </c>
      <c r="J818" s="10">
        <v>15</v>
      </c>
      <c r="K818" s="2">
        <v>180546.8</v>
      </c>
      <c r="L818" s="2">
        <f>Raw_Sales_Data3[[#This Row],[Quantity]]*Raw_Sales_Data3[[#This Row],[Unit Price]]*(Raw_Sales_Data3[[#This Row],[Discount %]]/100)</f>
        <v>31861.199999999997</v>
      </c>
      <c r="M818" t="str">
        <f>IF(COUNTIF(Raw_Sales_Data3[Order ID],Raw_Sales_Data3[[#This Row],[Order ID]])&gt;1,"Duplicate Order ID","Unique Order ID")</f>
        <v>Duplicate Order ID</v>
      </c>
    </row>
    <row r="819" spans="1:13" x14ac:dyDescent="0.3">
      <c r="A819" t="s">
        <v>858</v>
      </c>
      <c r="B819" s="1">
        <v>46069</v>
      </c>
      <c r="C819" t="s">
        <v>54</v>
      </c>
      <c r="D819" t="s">
        <v>70</v>
      </c>
      <c r="E819" t="s">
        <v>18</v>
      </c>
      <c r="F819" t="s">
        <v>24</v>
      </c>
      <c r="G819" t="s">
        <v>53</v>
      </c>
      <c r="H819" s="5">
        <v>7</v>
      </c>
      <c r="I819" s="3">
        <v>23948</v>
      </c>
      <c r="J819" s="10">
        <v>15</v>
      </c>
      <c r="K819" s="2">
        <v>142490.6</v>
      </c>
      <c r="L819" s="2">
        <f>Raw_Sales_Data3[[#This Row],[Quantity]]*Raw_Sales_Data3[[#This Row],[Unit Price]]*(Raw_Sales_Data3[[#This Row],[Discount %]]/100)</f>
        <v>25145.399999999998</v>
      </c>
      <c r="M819" t="str">
        <f>IF(COUNTIF(Raw_Sales_Data3[Order ID],Raw_Sales_Data3[[#This Row],[Order ID]])&gt;1,"Duplicate Order ID","Unique Order ID")</f>
        <v>Unique Order ID</v>
      </c>
    </row>
    <row r="820" spans="1:13" x14ac:dyDescent="0.3">
      <c r="A820" t="s">
        <v>859</v>
      </c>
      <c r="B820" s="1">
        <v>46098</v>
      </c>
      <c r="C820" t="s">
        <v>17</v>
      </c>
      <c r="D820" t="s">
        <v>58</v>
      </c>
      <c r="E820" t="s">
        <v>28</v>
      </c>
      <c r="F820" t="s">
        <v>19</v>
      </c>
      <c r="G820" t="s">
        <v>40</v>
      </c>
      <c r="H820" s="5">
        <v>14</v>
      </c>
      <c r="I820" s="3">
        <v>12222</v>
      </c>
      <c r="J820" s="10">
        <v>10</v>
      </c>
      <c r="K820" s="2">
        <v>153997.20000000001</v>
      </c>
      <c r="L820" s="2">
        <f>Raw_Sales_Data3[[#This Row],[Quantity]]*Raw_Sales_Data3[[#This Row],[Unit Price]]*(Raw_Sales_Data3[[#This Row],[Discount %]]/100)</f>
        <v>17110.8</v>
      </c>
      <c r="M820" t="str">
        <f>IF(COUNTIF(Raw_Sales_Data3[Order ID],Raw_Sales_Data3[[#This Row],[Order ID]])&gt;1,"Duplicate Order ID","Unique Order ID")</f>
        <v>Unique Order ID</v>
      </c>
    </row>
    <row r="821" spans="1:13" x14ac:dyDescent="0.3">
      <c r="A821" t="s">
        <v>860</v>
      </c>
      <c r="B821" s="1">
        <v>46067</v>
      </c>
      <c r="C821" t="s">
        <v>48</v>
      </c>
      <c r="D821" t="s">
        <v>58</v>
      </c>
      <c r="E821" t="s">
        <v>39</v>
      </c>
      <c r="F821" t="s">
        <v>14</v>
      </c>
      <c r="G821" t="s">
        <v>103</v>
      </c>
      <c r="H821" s="5">
        <v>2</v>
      </c>
      <c r="I821" s="3">
        <f>K821/H821</f>
        <v>12388</v>
      </c>
      <c r="J821" s="10">
        <v>0</v>
      </c>
      <c r="K821" s="2">
        <v>24776</v>
      </c>
      <c r="L821" s="2">
        <f>Raw_Sales_Data3[[#This Row],[Quantity]]*Raw_Sales_Data3[[#This Row],[Unit Price]]*(Raw_Sales_Data3[[#This Row],[Discount %]]/100)</f>
        <v>0</v>
      </c>
      <c r="M821" t="str">
        <f>IF(COUNTIF(Raw_Sales_Data3[Order ID],Raw_Sales_Data3[[#This Row],[Order ID]])&gt;1,"Duplicate Order ID","Unique Order ID")</f>
        <v>Unique Order ID</v>
      </c>
    </row>
    <row r="822" spans="1:13" x14ac:dyDescent="0.3">
      <c r="A822" t="s">
        <v>861</v>
      </c>
      <c r="B822" s="1">
        <v>46039</v>
      </c>
      <c r="C822" t="s">
        <v>22</v>
      </c>
      <c r="D822" t="s">
        <v>23</v>
      </c>
      <c r="E822" t="s">
        <v>13</v>
      </c>
      <c r="F822" t="s">
        <v>14</v>
      </c>
      <c r="G822" t="s">
        <v>156</v>
      </c>
      <c r="H822" s="5">
        <v>2</v>
      </c>
      <c r="I822" s="3">
        <v>57528</v>
      </c>
      <c r="J822" s="10">
        <v>0</v>
      </c>
      <c r="K822" s="2">
        <v>115056</v>
      </c>
      <c r="L822" s="2">
        <f>Raw_Sales_Data3[[#This Row],[Quantity]]*Raw_Sales_Data3[[#This Row],[Unit Price]]*(Raw_Sales_Data3[[#This Row],[Discount %]]/100)</f>
        <v>0</v>
      </c>
      <c r="M822" t="str">
        <f>IF(COUNTIF(Raw_Sales_Data3[Order ID],Raw_Sales_Data3[[#This Row],[Order ID]])&gt;1,"Duplicate Order ID","Unique Order ID")</f>
        <v>Unique Order ID</v>
      </c>
    </row>
    <row r="823" spans="1:13" x14ac:dyDescent="0.3">
      <c r="A823" t="s">
        <v>862</v>
      </c>
      <c r="B823" s="1">
        <v>46064</v>
      </c>
      <c r="C823" t="s">
        <v>27</v>
      </c>
      <c r="D823" t="s">
        <v>23</v>
      </c>
      <c r="E823" t="s">
        <v>18</v>
      </c>
      <c r="F823" t="s">
        <v>19</v>
      </c>
      <c r="G823" t="s">
        <v>117</v>
      </c>
      <c r="H823" s="5">
        <v>8</v>
      </c>
      <c r="I823" s="3">
        <v>37665</v>
      </c>
      <c r="J823" s="10">
        <v>0</v>
      </c>
      <c r="K823" s="2">
        <v>301320</v>
      </c>
      <c r="L823" s="2">
        <f>Raw_Sales_Data3[[#This Row],[Quantity]]*Raw_Sales_Data3[[#This Row],[Unit Price]]*(Raw_Sales_Data3[[#This Row],[Discount %]]/100)</f>
        <v>0</v>
      </c>
      <c r="M823" t="str">
        <f>IF(COUNTIF(Raw_Sales_Data3[Order ID],Raw_Sales_Data3[[#This Row],[Order ID]])&gt;1,"Duplicate Order ID","Unique Order ID")</f>
        <v>Unique Order ID</v>
      </c>
    </row>
    <row r="824" spans="1:13" x14ac:dyDescent="0.3">
      <c r="A824" t="s">
        <v>863</v>
      </c>
      <c r="B824" s="1">
        <v>46073</v>
      </c>
      <c r="C824" t="s">
        <v>12</v>
      </c>
      <c r="D824" t="s">
        <v>23</v>
      </c>
      <c r="E824" t="s">
        <v>18</v>
      </c>
      <c r="F824" t="s">
        <v>14</v>
      </c>
      <c r="G824" t="s">
        <v>98</v>
      </c>
      <c r="H824" s="5">
        <v>13</v>
      </c>
      <c r="I824" s="3">
        <v>7129</v>
      </c>
      <c r="J824" s="10">
        <v>15</v>
      </c>
      <c r="K824" s="2">
        <v>78775.45</v>
      </c>
      <c r="L824" s="2">
        <f>Raw_Sales_Data3[[#This Row],[Quantity]]*Raw_Sales_Data3[[#This Row],[Unit Price]]*(Raw_Sales_Data3[[#This Row],[Discount %]]/100)</f>
        <v>13901.55</v>
      </c>
      <c r="M824" t="str">
        <f>IF(COUNTIF(Raw_Sales_Data3[Order ID],Raw_Sales_Data3[[#This Row],[Order ID]])&gt;1,"Duplicate Order ID","Unique Order ID")</f>
        <v>Unique Order ID</v>
      </c>
    </row>
    <row r="825" spans="1:13" x14ac:dyDescent="0.3">
      <c r="A825" t="s">
        <v>864</v>
      </c>
      <c r="B825" s="1">
        <v>46029</v>
      </c>
      <c r="C825" t="s">
        <v>57</v>
      </c>
      <c r="D825" t="s">
        <v>58</v>
      </c>
      <c r="E825" t="s">
        <v>18</v>
      </c>
      <c r="F825" t="s">
        <v>19</v>
      </c>
      <c r="G825" t="s">
        <v>59</v>
      </c>
      <c r="H825" s="5">
        <v>15</v>
      </c>
      <c r="I825" s="3">
        <v>18939</v>
      </c>
      <c r="J825" s="10">
        <v>15</v>
      </c>
      <c r="K825" s="2">
        <v>241472.25</v>
      </c>
      <c r="L825" s="2">
        <f>Raw_Sales_Data3[[#This Row],[Quantity]]*Raw_Sales_Data3[[#This Row],[Unit Price]]*(Raw_Sales_Data3[[#This Row],[Discount %]]/100)</f>
        <v>42612.75</v>
      </c>
      <c r="M825" t="str">
        <f>IF(COUNTIF(Raw_Sales_Data3[Order ID],Raw_Sales_Data3[[#This Row],[Order ID]])&gt;1,"Duplicate Order ID","Unique Order ID")</f>
        <v>Unique Order ID</v>
      </c>
    </row>
    <row r="826" spans="1:13" x14ac:dyDescent="0.3">
      <c r="A826" t="s">
        <v>865</v>
      </c>
      <c r="B826" s="1">
        <v>46024</v>
      </c>
      <c r="C826" t="s">
        <v>64</v>
      </c>
      <c r="D826" t="s">
        <v>58</v>
      </c>
      <c r="E826" t="s">
        <v>28</v>
      </c>
      <c r="F826" t="s">
        <v>24</v>
      </c>
      <c r="G826" t="s">
        <v>71</v>
      </c>
      <c r="H826" s="5">
        <v>4</v>
      </c>
      <c r="I826" s="3">
        <v>22602</v>
      </c>
      <c r="J826" s="10">
        <v>20</v>
      </c>
      <c r="K826" s="2">
        <v>72326.399999999994</v>
      </c>
      <c r="L826" s="2">
        <f>Raw_Sales_Data3[[#This Row],[Quantity]]*Raw_Sales_Data3[[#This Row],[Unit Price]]*(Raw_Sales_Data3[[#This Row],[Discount %]]/100)</f>
        <v>18081.600000000002</v>
      </c>
      <c r="M826" t="str">
        <f>IF(COUNTIF(Raw_Sales_Data3[Order ID],Raw_Sales_Data3[[#This Row],[Order ID]])&gt;1,"Duplicate Order ID","Unique Order ID")</f>
        <v>Unique Order ID</v>
      </c>
    </row>
    <row r="827" spans="1:13" x14ac:dyDescent="0.3">
      <c r="A827" t="s">
        <v>866</v>
      </c>
      <c r="B827" s="1">
        <v>46041</v>
      </c>
      <c r="C827" t="s">
        <v>89</v>
      </c>
      <c r="D827" t="s">
        <v>70</v>
      </c>
      <c r="E827" t="s">
        <v>13</v>
      </c>
      <c r="F827" t="s">
        <v>24</v>
      </c>
      <c r="G827" t="s">
        <v>71</v>
      </c>
      <c r="H827" s="5">
        <v>9</v>
      </c>
      <c r="I827" s="3">
        <v>52540</v>
      </c>
      <c r="J827" s="10">
        <v>0</v>
      </c>
      <c r="K827" s="2">
        <v>472860</v>
      </c>
      <c r="L827" s="2">
        <f>Raw_Sales_Data3[[#This Row],[Quantity]]*Raw_Sales_Data3[[#This Row],[Unit Price]]*(Raw_Sales_Data3[[#This Row],[Discount %]]/100)</f>
        <v>0</v>
      </c>
      <c r="M827" t="str">
        <f>IF(COUNTIF(Raw_Sales_Data3[Order ID],Raw_Sales_Data3[[#This Row],[Order ID]])&gt;1,"Duplicate Order ID","Unique Order ID")</f>
        <v>Unique Order ID</v>
      </c>
    </row>
    <row r="828" spans="1:13" x14ac:dyDescent="0.3">
      <c r="A828" t="s">
        <v>867</v>
      </c>
      <c r="B828" s="1">
        <v>46056</v>
      </c>
      <c r="C828" t="s">
        <v>33</v>
      </c>
      <c r="D828" t="s">
        <v>23</v>
      </c>
      <c r="E828" t="s">
        <v>39</v>
      </c>
      <c r="F828" t="s">
        <v>19</v>
      </c>
      <c r="G828" t="s">
        <v>1038</v>
      </c>
      <c r="H828" s="5">
        <f>K828/(I828*(1-J828/100))</f>
        <v>6</v>
      </c>
      <c r="I828" s="3">
        <v>9642</v>
      </c>
      <c r="J828" s="10">
        <v>15</v>
      </c>
      <c r="K828" s="2">
        <v>49174.2</v>
      </c>
      <c r="L828" s="2">
        <f>Raw_Sales_Data3[[#This Row],[Quantity]]*Raw_Sales_Data3[[#This Row],[Unit Price]]*(Raw_Sales_Data3[[#This Row],[Discount %]]/100)</f>
        <v>8677.7999999999993</v>
      </c>
      <c r="M828" t="str">
        <f>IF(COUNTIF(Raw_Sales_Data3[Order ID],Raw_Sales_Data3[[#This Row],[Order ID]])&gt;1,"Duplicate Order ID","Unique Order ID")</f>
        <v>Unique Order ID</v>
      </c>
    </row>
    <row r="829" spans="1:13" x14ac:dyDescent="0.3">
      <c r="A829" t="s">
        <v>868</v>
      </c>
      <c r="B829" s="1">
        <v>46057</v>
      </c>
      <c r="C829" t="s">
        <v>12</v>
      </c>
      <c r="D829" t="s">
        <v>23</v>
      </c>
      <c r="E829" t="s">
        <v>13</v>
      </c>
      <c r="F829" t="s">
        <v>24</v>
      </c>
      <c r="G829" t="s">
        <v>55</v>
      </c>
      <c r="H829" s="5">
        <v>4</v>
      </c>
      <c r="I829" s="3">
        <v>43002</v>
      </c>
      <c r="J829" s="10">
        <v>5</v>
      </c>
      <c r="K829" s="2">
        <v>163407.6</v>
      </c>
      <c r="L829" s="2">
        <f>Raw_Sales_Data3[[#This Row],[Quantity]]*Raw_Sales_Data3[[#This Row],[Unit Price]]*(Raw_Sales_Data3[[#This Row],[Discount %]]/100)</f>
        <v>8600.4</v>
      </c>
      <c r="M829" t="str">
        <f>IF(COUNTIF(Raw_Sales_Data3[Order ID],Raw_Sales_Data3[[#This Row],[Order ID]])&gt;1,"Duplicate Order ID","Unique Order ID")</f>
        <v>Unique Order ID</v>
      </c>
    </row>
    <row r="830" spans="1:13" x14ac:dyDescent="0.3">
      <c r="A830" t="s">
        <v>869</v>
      </c>
      <c r="B830" s="1">
        <v>46097</v>
      </c>
      <c r="C830" t="s">
        <v>50</v>
      </c>
      <c r="D830" t="s">
        <v>43</v>
      </c>
      <c r="E830" t="s">
        <v>28</v>
      </c>
      <c r="F830" t="s">
        <v>14</v>
      </c>
      <c r="G830" t="s">
        <v>103</v>
      </c>
      <c r="H830" s="5">
        <v>13</v>
      </c>
      <c r="I830" s="3">
        <v>24050</v>
      </c>
      <c r="J830" s="10">
        <v>20</v>
      </c>
      <c r="K830" s="2">
        <v>250120</v>
      </c>
      <c r="L830" s="2">
        <f>Raw_Sales_Data3[[#This Row],[Quantity]]*Raw_Sales_Data3[[#This Row],[Unit Price]]*(Raw_Sales_Data3[[#This Row],[Discount %]]/100)</f>
        <v>62530</v>
      </c>
      <c r="M830" t="str">
        <f>IF(COUNTIF(Raw_Sales_Data3[Order ID],Raw_Sales_Data3[[#This Row],[Order ID]])&gt;1,"Duplicate Order ID","Unique Order ID")</f>
        <v>Unique Order ID</v>
      </c>
    </row>
    <row r="831" spans="1:13" x14ac:dyDescent="0.3">
      <c r="A831" t="s">
        <v>870</v>
      </c>
      <c r="B831" s="1">
        <v>46090</v>
      </c>
      <c r="C831" t="s">
        <v>17</v>
      </c>
      <c r="D831" t="s">
        <v>70</v>
      </c>
      <c r="E831" t="s">
        <v>13</v>
      </c>
      <c r="F831" t="s">
        <v>24</v>
      </c>
      <c r="G831" t="s">
        <v>55</v>
      </c>
      <c r="H831" s="5">
        <v>11</v>
      </c>
      <c r="I831" s="3">
        <v>4803</v>
      </c>
      <c r="J831" s="10">
        <v>0</v>
      </c>
      <c r="K831" s="2">
        <v>52833</v>
      </c>
      <c r="L831" s="2">
        <f>Raw_Sales_Data3[[#This Row],[Quantity]]*Raw_Sales_Data3[[#This Row],[Unit Price]]*(Raw_Sales_Data3[[#This Row],[Discount %]]/100)</f>
        <v>0</v>
      </c>
      <c r="M831" t="str">
        <f>IF(COUNTIF(Raw_Sales_Data3[Order ID],Raw_Sales_Data3[[#This Row],[Order ID]])&gt;1,"Duplicate Order ID","Unique Order ID")</f>
        <v>Duplicate Order ID</v>
      </c>
    </row>
    <row r="832" spans="1:13" x14ac:dyDescent="0.3">
      <c r="A832" t="s">
        <v>870</v>
      </c>
      <c r="B832" s="1">
        <v>46091</v>
      </c>
      <c r="C832" t="s">
        <v>33</v>
      </c>
      <c r="D832" t="s">
        <v>70</v>
      </c>
      <c r="E832" t="s">
        <v>13</v>
      </c>
      <c r="F832" t="s">
        <v>24</v>
      </c>
      <c r="G832" t="s">
        <v>55</v>
      </c>
      <c r="H832" s="5">
        <v>1</v>
      </c>
      <c r="I832" s="3">
        <v>46410</v>
      </c>
      <c r="J832" s="10">
        <v>15</v>
      </c>
      <c r="K832" s="2">
        <v>39448.5</v>
      </c>
      <c r="L832" s="2">
        <f>Raw_Sales_Data3[[#This Row],[Quantity]]*Raw_Sales_Data3[[#This Row],[Unit Price]]*(Raw_Sales_Data3[[#This Row],[Discount %]]/100)</f>
        <v>6961.5</v>
      </c>
      <c r="M832" t="str">
        <f>IF(COUNTIF(Raw_Sales_Data3[Order ID],Raw_Sales_Data3[[#This Row],[Order ID]])&gt;1,"Duplicate Order ID","Unique Order ID")</f>
        <v>Duplicate Order ID</v>
      </c>
    </row>
    <row r="833" spans="1:13" x14ac:dyDescent="0.3">
      <c r="A833" t="s">
        <v>871</v>
      </c>
      <c r="B833" s="1">
        <v>46079</v>
      </c>
      <c r="C833" t="s">
        <v>27</v>
      </c>
      <c r="D833" t="s">
        <v>70</v>
      </c>
      <c r="E833" t="s">
        <v>34</v>
      </c>
      <c r="F833" t="s">
        <v>24</v>
      </c>
      <c r="G833" t="s">
        <v>77</v>
      </c>
      <c r="H833" s="5">
        <v>8</v>
      </c>
      <c r="I833" s="3">
        <v>28098</v>
      </c>
      <c r="J833" s="10">
        <v>5</v>
      </c>
      <c r="K833" s="2">
        <v>213544.8</v>
      </c>
      <c r="L833" s="2">
        <f>Raw_Sales_Data3[[#This Row],[Quantity]]*Raw_Sales_Data3[[#This Row],[Unit Price]]*(Raw_Sales_Data3[[#This Row],[Discount %]]/100)</f>
        <v>11239.2</v>
      </c>
      <c r="M833" t="str">
        <f>IF(COUNTIF(Raw_Sales_Data3[Order ID],Raw_Sales_Data3[[#This Row],[Order ID]])&gt;1,"Duplicate Order ID","Unique Order ID")</f>
        <v>Unique Order ID</v>
      </c>
    </row>
    <row r="834" spans="1:13" x14ac:dyDescent="0.3">
      <c r="A834" t="s">
        <v>872</v>
      </c>
      <c r="B834" s="1">
        <v>46069</v>
      </c>
      <c r="C834" t="s">
        <v>89</v>
      </c>
      <c r="D834" t="s">
        <v>58</v>
      </c>
      <c r="E834" t="s">
        <v>13</v>
      </c>
      <c r="F834" t="s">
        <v>19</v>
      </c>
      <c r="G834" t="s">
        <v>79</v>
      </c>
      <c r="H834" s="5">
        <v>4</v>
      </c>
      <c r="I834" s="3">
        <v>39713</v>
      </c>
      <c r="J834" s="10">
        <v>0</v>
      </c>
      <c r="K834" s="2">
        <v>158852</v>
      </c>
      <c r="L834" s="2">
        <f>Raw_Sales_Data3[[#This Row],[Quantity]]*Raw_Sales_Data3[[#This Row],[Unit Price]]*(Raw_Sales_Data3[[#This Row],[Discount %]]/100)</f>
        <v>0</v>
      </c>
      <c r="M834" t="str">
        <f>IF(COUNTIF(Raw_Sales_Data3[Order ID],Raw_Sales_Data3[[#This Row],[Order ID]])&gt;1,"Duplicate Order ID","Unique Order ID")</f>
        <v>Unique Order ID</v>
      </c>
    </row>
    <row r="835" spans="1:13" x14ac:dyDescent="0.3">
      <c r="A835" t="s">
        <v>873</v>
      </c>
      <c r="B835" s="1">
        <v>46041</v>
      </c>
      <c r="C835" t="s">
        <v>22</v>
      </c>
      <c r="D835" t="s">
        <v>43</v>
      </c>
      <c r="E835" t="s">
        <v>28</v>
      </c>
      <c r="F835" t="s">
        <v>19</v>
      </c>
      <c r="G835" t="s">
        <v>59</v>
      </c>
      <c r="H835" s="5">
        <v>9</v>
      </c>
      <c r="I835" s="3">
        <v>6868</v>
      </c>
      <c r="J835" s="10">
        <v>15</v>
      </c>
      <c r="K835" s="2">
        <v>52540.2</v>
      </c>
      <c r="L835" s="2">
        <f>Raw_Sales_Data3[[#This Row],[Quantity]]*Raw_Sales_Data3[[#This Row],[Unit Price]]*(Raw_Sales_Data3[[#This Row],[Discount %]]/100)</f>
        <v>9271.7999999999993</v>
      </c>
      <c r="M835" t="str">
        <f>IF(COUNTIF(Raw_Sales_Data3[Order ID],Raw_Sales_Data3[[#This Row],[Order ID]])&gt;1,"Duplicate Order ID","Unique Order ID")</f>
        <v>Duplicate Order ID</v>
      </c>
    </row>
    <row r="836" spans="1:13" x14ac:dyDescent="0.3">
      <c r="A836" t="s">
        <v>873</v>
      </c>
      <c r="B836" s="1">
        <v>46097</v>
      </c>
      <c r="C836" t="s">
        <v>123</v>
      </c>
      <c r="D836" t="s">
        <v>23</v>
      </c>
      <c r="E836" t="s">
        <v>34</v>
      </c>
      <c r="F836" t="s">
        <v>14</v>
      </c>
      <c r="G836" t="s">
        <v>103</v>
      </c>
      <c r="H836" s="5">
        <v>15</v>
      </c>
      <c r="I836" s="3">
        <v>42387</v>
      </c>
      <c r="J836" s="10">
        <v>5</v>
      </c>
      <c r="K836" s="2">
        <v>604014.75</v>
      </c>
      <c r="L836" s="2">
        <f>Raw_Sales_Data3[[#This Row],[Quantity]]*Raw_Sales_Data3[[#This Row],[Unit Price]]*(Raw_Sales_Data3[[#This Row],[Discount %]]/100)</f>
        <v>31790.25</v>
      </c>
      <c r="M836" t="str">
        <f>IF(COUNTIF(Raw_Sales_Data3[Order ID],Raw_Sales_Data3[[#This Row],[Order ID]])&gt;1,"Duplicate Order ID","Unique Order ID")</f>
        <v>Duplicate Order ID</v>
      </c>
    </row>
    <row r="837" spans="1:13" x14ac:dyDescent="0.3">
      <c r="A837" t="s">
        <v>874</v>
      </c>
      <c r="B837" s="1">
        <v>46090</v>
      </c>
      <c r="C837" t="s">
        <v>57</v>
      </c>
      <c r="D837" t="s">
        <v>58</v>
      </c>
      <c r="E837" t="s">
        <v>34</v>
      </c>
      <c r="F837" t="s">
        <v>14</v>
      </c>
      <c r="G837" t="s">
        <v>98</v>
      </c>
      <c r="H837" s="5">
        <v>5</v>
      </c>
      <c r="I837" s="3">
        <v>4180</v>
      </c>
      <c r="J837" s="10">
        <v>15</v>
      </c>
      <c r="K837" s="2">
        <v>17765</v>
      </c>
      <c r="L837" s="2">
        <f>Raw_Sales_Data3[[#This Row],[Quantity]]*Raw_Sales_Data3[[#This Row],[Unit Price]]*(Raw_Sales_Data3[[#This Row],[Discount %]]/100)</f>
        <v>3135</v>
      </c>
      <c r="M837" t="str">
        <f>IF(COUNTIF(Raw_Sales_Data3[Order ID],Raw_Sales_Data3[[#This Row],[Order ID]])&gt;1,"Duplicate Order ID","Unique Order ID")</f>
        <v>Unique Order ID</v>
      </c>
    </row>
    <row r="838" spans="1:13" x14ac:dyDescent="0.3">
      <c r="A838" t="s">
        <v>875</v>
      </c>
      <c r="B838" s="1">
        <v>46099</v>
      </c>
      <c r="C838" t="s">
        <v>69</v>
      </c>
      <c r="D838" t="s">
        <v>58</v>
      </c>
      <c r="E838" t="s">
        <v>28</v>
      </c>
      <c r="F838" t="s">
        <v>14</v>
      </c>
      <c r="G838" t="s">
        <v>73</v>
      </c>
      <c r="H838" s="5">
        <v>11</v>
      </c>
      <c r="I838" s="3">
        <v>33369</v>
      </c>
      <c r="J838" s="10">
        <v>10</v>
      </c>
      <c r="K838" s="2">
        <v>330353.09999999998</v>
      </c>
      <c r="L838" s="2">
        <f>Raw_Sales_Data3[[#This Row],[Quantity]]*Raw_Sales_Data3[[#This Row],[Unit Price]]*(Raw_Sales_Data3[[#This Row],[Discount %]]/100)</f>
        <v>36705.9</v>
      </c>
      <c r="M838" t="str">
        <f>IF(COUNTIF(Raw_Sales_Data3[Order ID],Raw_Sales_Data3[[#This Row],[Order ID]])&gt;1,"Duplicate Order ID","Unique Order ID")</f>
        <v>Unique Order ID</v>
      </c>
    </row>
    <row r="839" spans="1:13" x14ac:dyDescent="0.3">
      <c r="A839" t="s">
        <v>876</v>
      </c>
      <c r="B839" s="1">
        <v>46039</v>
      </c>
      <c r="C839" t="s">
        <v>48</v>
      </c>
      <c r="D839" t="s">
        <v>58</v>
      </c>
      <c r="E839" t="s">
        <v>39</v>
      </c>
      <c r="F839" t="s">
        <v>19</v>
      </c>
      <c r="G839" t="s">
        <v>1038</v>
      </c>
      <c r="H839" s="5">
        <v>9</v>
      </c>
      <c r="I839" s="3">
        <v>34638</v>
      </c>
      <c r="J839" s="10">
        <v>20</v>
      </c>
      <c r="K839" s="2">
        <v>249393.6</v>
      </c>
      <c r="L839" s="2">
        <f>Raw_Sales_Data3[[#This Row],[Quantity]]*Raw_Sales_Data3[[#This Row],[Unit Price]]*(Raw_Sales_Data3[[#This Row],[Discount %]]/100)</f>
        <v>62348.4</v>
      </c>
      <c r="M839" t="str">
        <f>IF(COUNTIF(Raw_Sales_Data3[Order ID],Raw_Sales_Data3[[#This Row],[Order ID]])&gt;1,"Duplicate Order ID","Unique Order ID")</f>
        <v>Unique Order ID</v>
      </c>
    </row>
    <row r="840" spans="1:13" x14ac:dyDescent="0.3">
      <c r="A840" t="s">
        <v>877</v>
      </c>
      <c r="B840" s="1">
        <v>46025</v>
      </c>
      <c r="C840" t="s">
        <v>54</v>
      </c>
      <c r="D840" t="s">
        <v>43</v>
      </c>
      <c r="E840" t="s">
        <v>39</v>
      </c>
      <c r="F840" t="s">
        <v>24</v>
      </c>
      <c r="G840" t="s">
        <v>55</v>
      </c>
      <c r="H840" s="5">
        <v>4</v>
      </c>
      <c r="I840" s="3">
        <v>32401</v>
      </c>
      <c r="J840" s="10">
        <v>5</v>
      </c>
      <c r="K840" s="2">
        <v>123123.8</v>
      </c>
      <c r="L840" s="2">
        <f>Raw_Sales_Data3[[#This Row],[Quantity]]*Raw_Sales_Data3[[#This Row],[Unit Price]]*(Raw_Sales_Data3[[#This Row],[Discount %]]/100)</f>
        <v>6480.2000000000007</v>
      </c>
      <c r="M840" t="str">
        <f>IF(COUNTIF(Raw_Sales_Data3[Order ID],Raw_Sales_Data3[[#This Row],[Order ID]])&gt;1,"Duplicate Order ID","Unique Order ID")</f>
        <v>Unique Order ID</v>
      </c>
    </row>
    <row r="841" spans="1:13" x14ac:dyDescent="0.3">
      <c r="A841" t="s">
        <v>878</v>
      </c>
      <c r="B841" s="1">
        <v>46086</v>
      </c>
      <c r="C841" t="s">
        <v>27</v>
      </c>
      <c r="D841" t="s">
        <v>70</v>
      </c>
      <c r="E841" t="s">
        <v>34</v>
      </c>
      <c r="F841" t="s">
        <v>24</v>
      </c>
      <c r="G841" t="s">
        <v>25</v>
      </c>
      <c r="H841" s="5">
        <v>3</v>
      </c>
      <c r="I841" s="3">
        <v>20602</v>
      </c>
      <c r="J841" s="10">
        <v>0</v>
      </c>
      <c r="K841" s="2">
        <v>61806</v>
      </c>
      <c r="L841" s="2">
        <f>Raw_Sales_Data3[[#This Row],[Quantity]]*Raw_Sales_Data3[[#This Row],[Unit Price]]*(Raw_Sales_Data3[[#This Row],[Discount %]]/100)</f>
        <v>0</v>
      </c>
      <c r="M841" t="str">
        <f>IF(COUNTIF(Raw_Sales_Data3[Order ID],Raw_Sales_Data3[[#This Row],[Order ID]])&gt;1,"Duplicate Order ID","Unique Order ID")</f>
        <v>Unique Order ID</v>
      </c>
    </row>
    <row r="842" spans="1:13" x14ac:dyDescent="0.3">
      <c r="A842" t="s">
        <v>879</v>
      </c>
      <c r="B842" s="1">
        <v>46105</v>
      </c>
      <c r="C842" t="s">
        <v>86</v>
      </c>
      <c r="D842" t="s">
        <v>43</v>
      </c>
      <c r="E842" t="s">
        <v>18</v>
      </c>
      <c r="F842" t="s">
        <v>19</v>
      </c>
      <c r="G842" t="s">
        <v>40</v>
      </c>
      <c r="H842" s="5">
        <v>5</v>
      </c>
      <c r="I842" s="3">
        <v>32186</v>
      </c>
      <c r="J842" s="10">
        <v>0</v>
      </c>
      <c r="K842" s="2">
        <v>160930</v>
      </c>
      <c r="L842" s="2">
        <f>Raw_Sales_Data3[[#This Row],[Quantity]]*Raw_Sales_Data3[[#This Row],[Unit Price]]*(Raw_Sales_Data3[[#This Row],[Discount %]]/100)</f>
        <v>0</v>
      </c>
      <c r="M842" t="str">
        <f>IF(COUNTIF(Raw_Sales_Data3[Order ID],Raw_Sales_Data3[[#This Row],[Order ID]])&gt;1,"Duplicate Order ID","Unique Order ID")</f>
        <v>Unique Order ID</v>
      </c>
    </row>
    <row r="843" spans="1:13" x14ac:dyDescent="0.3">
      <c r="A843" t="s">
        <v>880</v>
      </c>
      <c r="B843" s="1">
        <v>46067</v>
      </c>
      <c r="C843" t="s">
        <v>50</v>
      </c>
      <c r="D843" t="s">
        <v>43</v>
      </c>
      <c r="E843" t="s">
        <v>34</v>
      </c>
      <c r="F843" t="s">
        <v>24</v>
      </c>
      <c r="G843" t="s">
        <v>29</v>
      </c>
      <c r="H843" s="5">
        <v>8</v>
      </c>
      <c r="I843" s="3">
        <v>11491</v>
      </c>
      <c r="J843" s="10">
        <v>15</v>
      </c>
      <c r="K843" s="2">
        <v>78138.8</v>
      </c>
      <c r="L843" s="2">
        <f>Raw_Sales_Data3[[#This Row],[Quantity]]*Raw_Sales_Data3[[#This Row],[Unit Price]]*(Raw_Sales_Data3[[#This Row],[Discount %]]/100)</f>
        <v>13789.199999999999</v>
      </c>
      <c r="M843" t="str">
        <f>IF(COUNTIF(Raw_Sales_Data3[Order ID],Raw_Sales_Data3[[#This Row],[Order ID]])&gt;1,"Duplicate Order ID","Unique Order ID")</f>
        <v>Unique Order ID</v>
      </c>
    </row>
    <row r="844" spans="1:13" x14ac:dyDescent="0.3">
      <c r="A844" t="s">
        <v>881</v>
      </c>
      <c r="B844" s="1">
        <v>46080</v>
      </c>
      <c r="C844" t="s">
        <v>64</v>
      </c>
      <c r="D844" t="s">
        <v>70</v>
      </c>
      <c r="E844" t="s">
        <v>28</v>
      </c>
      <c r="F844" t="s">
        <v>19</v>
      </c>
      <c r="G844" t="s">
        <v>31</v>
      </c>
      <c r="H844" s="5">
        <f>K844/(I844*(1-J844/100))</f>
        <v>6</v>
      </c>
      <c r="I844" s="3">
        <v>1260</v>
      </c>
      <c r="J844" s="10">
        <v>15</v>
      </c>
      <c r="K844" s="2">
        <v>6426</v>
      </c>
      <c r="L844" s="2">
        <f>Raw_Sales_Data3[[#This Row],[Quantity]]*Raw_Sales_Data3[[#This Row],[Unit Price]]*(Raw_Sales_Data3[[#This Row],[Discount %]]/100)</f>
        <v>1134</v>
      </c>
      <c r="M844" t="str">
        <f>IF(COUNTIF(Raw_Sales_Data3[Order ID],Raw_Sales_Data3[[#This Row],[Order ID]])&gt;1,"Duplicate Order ID","Unique Order ID")</f>
        <v>Unique Order ID</v>
      </c>
    </row>
    <row r="845" spans="1:13" x14ac:dyDescent="0.3">
      <c r="A845" t="s">
        <v>882</v>
      </c>
      <c r="B845" s="1">
        <v>46108</v>
      </c>
      <c r="C845" t="s">
        <v>12</v>
      </c>
      <c r="D845" t="s">
        <v>23</v>
      </c>
      <c r="E845" t="s">
        <v>28</v>
      </c>
      <c r="F845" t="s">
        <v>24</v>
      </c>
      <c r="G845" t="s">
        <v>53</v>
      </c>
      <c r="H845" s="5">
        <v>12</v>
      </c>
      <c r="I845" s="3">
        <v>44239</v>
      </c>
      <c r="J845" s="10">
        <v>0</v>
      </c>
      <c r="K845" s="2">
        <v>530868</v>
      </c>
      <c r="L845" s="2">
        <f>Raw_Sales_Data3[[#This Row],[Quantity]]*Raw_Sales_Data3[[#This Row],[Unit Price]]*(Raw_Sales_Data3[[#This Row],[Discount %]]/100)</f>
        <v>0</v>
      </c>
      <c r="M845" t="str">
        <f>IF(COUNTIF(Raw_Sales_Data3[Order ID],Raw_Sales_Data3[[#This Row],[Order ID]])&gt;1,"Duplicate Order ID","Unique Order ID")</f>
        <v>Unique Order ID</v>
      </c>
    </row>
    <row r="846" spans="1:13" x14ac:dyDescent="0.3">
      <c r="A846" t="s">
        <v>883</v>
      </c>
      <c r="B846" s="1">
        <v>46024</v>
      </c>
      <c r="C846" t="s">
        <v>17</v>
      </c>
      <c r="D846" t="s">
        <v>43</v>
      </c>
      <c r="E846" t="s">
        <v>28</v>
      </c>
      <c r="F846" t="s">
        <v>24</v>
      </c>
      <c r="G846" t="s">
        <v>53</v>
      </c>
      <c r="H846" s="5">
        <f>K846/(I846*(1-J846/100))</f>
        <v>15</v>
      </c>
      <c r="I846" s="3">
        <v>11340</v>
      </c>
      <c r="J846" s="10">
        <v>15</v>
      </c>
      <c r="K846" s="2">
        <v>144585</v>
      </c>
      <c r="L846" s="2">
        <f>Raw_Sales_Data3[[#This Row],[Quantity]]*Raw_Sales_Data3[[#This Row],[Unit Price]]*(Raw_Sales_Data3[[#This Row],[Discount %]]/100)</f>
        <v>25515</v>
      </c>
      <c r="M846" t="str">
        <f>IF(COUNTIF(Raw_Sales_Data3[Order ID],Raw_Sales_Data3[[#This Row],[Order ID]])&gt;1,"Duplicate Order ID","Unique Order ID")</f>
        <v>Unique Order ID</v>
      </c>
    </row>
    <row r="847" spans="1:13" x14ac:dyDescent="0.3">
      <c r="A847" t="s">
        <v>884</v>
      </c>
      <c r="B847" s="1">
        <v>46094</v>
      </c>
      <c r="C847" t="s">
        <v>54</v>
      </c>
      <c r="D847" t="s">
        <v>23</v>
      </c>
      <c r="E847" t="s">
        <v>13</v>
      </c>
      <c r="F847" t="s">
        <v>14</v>
      </c>
      <c r="G847" t="s">
        <v>103</v>
      </c>
      <c r="H847" s="5">
        <v>4</v>
      </c>
      <c r="I847" s="3">
        <v>14269</v>
      </c>
      <c r="J847" s="10">
        <v>0</v>
      </c>
      <c r="K847" s="2">
        <v>57076</v>
      </c>
      <c r="L847" s="2">
        <f>Raw_Sales_Data3[[#This Row],[Quantity]]*Raw_Sales_Data3[[#This Row],[Unit Price]]*(Raw_Sales_Data3[[#This Row],[Discount %]]/100)</f>
        <v>0</v>
      </c>
      <c r="M847" t="str">
        <f>IF(COUNTIF(Raw_Sales_Data3[Order ID],Raw_Sales_Data3[[#This Row],[Order ID]])&gt;1,"Duplicate Order ID","Unique Order ID")</f>
        <v>Unique Order ID</v>
      </c>
    </row>
    <row r="848" spans="1:13" x14ac:dyDescent="0.3">
      <c r="A848" t="s">
        <v>885</v>
      </c>
      <c r="B848" s="1">
        <v>46106</v>
      </c>
      <c r="C848" t="s">
        <v>123</v>
      </c>
      <c r="D848" t="s">
        <v>58</v>
      </c>
      <c r="E848" t="s">
        <v>13</v>
      </c>
      <c r="F848" t="s">
        <v>14</v>
      </c>
      <c r="G848" t="s">
        <v>156</v>
      </c>
      <c r="H848" s="5">
        <v>7</v>
      </c>
      <c r="I848" s="3">
        <v>38766</v>
      </c>
      <c r="J848" s="10">
        <v>15</v>
      </c>
      <c r="K848" s="2">
        <v>230657.7</v>
      </c>
      <c r="L848" s="2">
        <f>Raw_Sales_Data3[[#This Row],[Quantity]]*Raw_Sales_Data3[[#This Row],[Unit Price]]*(Raw_Sales_Data3[[#This Row],[Discount %]]/100)</f>
        <v>40704.299999999996</v>
      </c>
      <c r="M848" t="str">
        <f>IF(COUNTIF(Raw_Sales_Data3[Order ID],Raw_Sales_Data3[[#This Row],[Order ID]])&gt;1,"Duplicate Order ID","Unique Order ID")</f>
        <v>Unique Order ID</v>
      </c>
    </row>
    <row r="849" spans="1:13" x14ac:dyDescent="0.3">
      <c r="A849" t="s">
        <v>886</v>
      </c>
      <c r="B849" s="1">
        <v>46093</v>
      </c>
      <c r="C849" t="s">
        <v>91</v>
      </c>
      <c r="D849" t="s">
        <v>23</v>
      </c>
      <c r="E849" t="s">
        <v>39</v>
      </c>
      <c r="F849" t="s">
        <v>14</v>
      </c>
      <c r="G849" t="s">
        <v>125</v>
      </c>
      <c r="H849" s="5">
        <v>3</v>
      </c>
      <c r="I849" s="3">
        <v>18053</v>
      </c>
      <c r="J849" s="10">
        <v>20</v>
      </c>
      <c r="K849" s="2">
        <v>43327.199999999997</v>
      </c>
      <c r="L849" s="2">
        <f>Raw_Sales_Data3[[#This Row],[Quantity]]*Raw_Sales_Data3[[#This Row],[Unit Price]]*(Raw_Sales_Data3[[#This Row],[Discount %]]/100)</f>
        <v>10831.800000000001</v>
      </c>
      <c r="M849" t="str">
        <f>IF(COUNTIF(Raw_Sales_Data3[Order ID],Raw_Sales_Data3[[#This Row],[Order ID]])&gt;1,"Duplicate Order ID","Unique Order ID")</f>
        <v>Unique Order ID</v>
      </c>
    </row>
    <row r="850" spans="1:13" x14ac:dyDescent="0.3">
      <c r="A850" t="s">
        <v>887</v>
      </c>
      <c r="B850" s="1">
        <v>46080</v>
      </c>
      <c r="C850" t="s">
        <v>57</v>
      </c>
      <c r="D850" t="s">
        <v>58</v>
      </c>
      <c r="E850" t="s">
        <v>39</v>
      </c>
      <c r="F850" t="s">
        <v>14</v>
      </c>
      <c r="G850" t="s">
        <v>73</v>
      </c>
      <c r="H850" s="5">
        <v>8</v>
      </c>
      <c r="I850" s="3">
        <v>6218</v>
      </c>
      <c r="J850" s="10">
        <v>5</v>
      </c>
      <c r="K850" s="2">
        <v>47256.800000000003</v>
      </c>
      <c r="L850" s="2">
        <f>Raw_Sales_Data3[[#This Row],[Quantity]]*Raw_Sales_Data3[[#This Row],[Unit Price]]*(Raw_Sales_Data3[[#This Row],[Discount %]]/100)</f>
        <v>2487.2000000000003</v>
      </c>
      <c r="M850" t="str">
        <f>IF(COUNTIF(Raw_Sales_Data3[Order ID],Raw_Sales_Data3[[#This Row],[Order ID]])&gt;1,"Duplicate Order ID","Unique Order ID")</f>
        <v>Unique Order ID</v>
      </c>
    </row>
    <row r="851" spans="1:13" x14ac:dyDescent="0.3">
      <c r="A851" t="s">
        <v>888</v>
      </c>
      <c r="B851" s="1">
        <v>46099</v>
      </c>
      <c r="C851" t="s">
        <v>36</v>
      </c>
      <c r="D851" t="s">
        <v>43</v>
      </c>
      <c r="E851" t="s">
        <v>39</v>
      </c>
      <c r="F851" t="s">
        <v>24</v>
      </c>
      <c r="G851" t="s">
        <v>55</v>
      </c>
      <c r="H851" s="5">
        <v>13</v>
      </c>
      <c r="I851" s="3">
        <v>39012</v>
      </c>
      <c r="J851" s="10">
        <v>20</v>
      </c>
      <c r="K851" s="2">
        <v>405724.8</v>
      </c>
      <c r="L851" s="2">
        <f>Raw_Sales_Data3[[#This Row],[Quantity]]*Raw_Sales_Data3[[#This Row],[Unit Price]]*(Raw_Sales_Data3[[#This Row],[Discount %]]/100)</f>
        <v>101431.20000000001</v>
      </c>
      <c r="M851" t="str">
        <f>IF(COUNTIF(Raw_Sales_Data3[Order ID],Raw_Sales_Data3[[#This Row],[Order ID]])&gt;1,"Duplicate Order ID","Unique Order ID")</f>
        <v>Unique Order ID</v>
      </c>
    </row>
    <row r="852" spans="1:13" x14ac:dyDescent="0.3">
      <c r="A852" t="s">
        <v>889</v>
      </c>
      <c r="B852" s="1"/>
      <c r="C852" t="s">
        <v>17</v>
      </c>
      <c r="D852" t="s">
        <v>43</v>
      </c>
      <c r="E852" t="s">
        <v>28</v>
      </c>
      <c r="F852" t="s">
        <v>14</v>
      </c>
      <c r="G852" t="s">
        <v>15</v>
      </c>
      <c r="H852" s="5">
        <f>K852/(I852*(1-J852/100))</f>
        <v>8</v>
      </c>
      <c r="I852" s="3">
        <v>11580</v>
      </c>
      <c r="J852" s="10">
        <v>0</v>
      </c>
      <c r="K852" s="2">
        <v>92640</v>
      </c>
      <c r="L852" s="2">
        <f>Raw_Sales_Data3[[#This Row],[Quantity]]*Raw_Sales_Data3[[#This Row],[Unit Price]]*(Raw_Sales_Data3[[#This Row],[Discount %]]/100)</f>
        <v>0</v>
      </c>
      <c r="M852" t="str">
        <f>IF(COUNTIF(Raw_Sales_Data3[Order ID],Raw_Sales_Data3[[#This Row],[Order ID]])&gt;1,"Duplicate Order ID","Unique Order ID")</f>
        <v>Unique Order ID</v>
      </c>
    </row>
    <row r="853" spans="1:13" x14ac:dyDescent="0.3">
      <c r="A853" t="s">
        <v>890</v>
      </c>
      <c r="B853" s="1">
        <v>46035</v>
      </c>
      <c r="C853" t="s">
        <v>57</v>
      </c>
      <c r="D853" t="s">
        <v>23</v>
      </c>
      <c r="E853" t="s">
        <v>39</v>
      </c>
      <c r="F853" t="s">
        <v>24</v>
      </c>
      <c r="G853" t="s">
        <v>29</v>
      </c>
      <c r="H853" s="5">
        <v>12</v>
      </c>
      <c r="I853" s="3">
        <v>53259</v>
      </c>
      <c r="J853" s="10">
        <v>0</v>
      </c>
      <c r="K853" s="2">
        <v>639108</v>
      </c>
      <c r="L853" s="2">
        <f>Raw_Sales_Data3[[#This Row],[Quantity]]*Raw_Sales_Data3[[#This Row],[Unit Price]]*(Raw_Sales_Data3[[#This Row],[Discount %]]/100)</f>
        <v>0</v>
      </c>
      <c r="M853" t="str">
        <f>IF(COUNTIF(Raw_Sales_Data3[Order ID],Raw_Sales_Data3[[#This Row],[Order ID]])&gt;1,"Duplicate Order ID","Unique Order ID")</f>
        <v>Unique Order ID</v>
      </c>
    </row>
    <row r="854" spans="1:13" x14ac:dyDescent="0.3">
      <c r="A854" t="s">
        <v>891</v>
      </c>
      <c r="B854" s="1">
        <v>46036</v>
      </c>
      <c r="C854" t="s">
        <v>42</v>
      </c>
      <c r="D854" t="s">
        <v>58</v>
      </c>
      <c r="E854" t="s">
        <v>34</v>
      </c>
      <c r="F854" t="s">
        <v>24</v>
      </c>
      <c r="G854" t="s">
        <v>29</v>
      </c>
      <c r="H854" s="5">
        <v>11</v>
      </c>
      <c r="I854" s="3">
        <v>35780</v>
      </c>
      <c r="J854" s="10">
        <v>10</v>
      </c>
      <c r="K854" s="2">
        <v>354222</v>
      </c>
      <c r="L854" s="2">
        <f>Raw_Sales_Data3[[#This Row],[Quantity]]*Raw_Sales_Data3[[#This Row],[Unit Price]]*(Raw_Sales_Data3[[#This Row],[Discount %]]/100)</f>
        <v>39358</v>
      </c>
      <c r="M854" t="str">
        <f>IF(COUNTIF(Raw_Sales_Data3[Order ID],Raw_Sales_Data3[[#This Row],[Order ID]])&gt;1,"Duplicate Order ID","Unique Order ID")</f>
        <v>Unique Order ID</v>
      </c>
    </row>
    <row r="855" spans="1:13" x14ac:dyDescent="0.3">
      <c r="A855" t="s">
        <v>892</v>
      </c>
      <c r="B855" s="1">
        <v>46060</v>
      </c>
      <c r="C855" t="s">
        <v>17</v>
      </c>
      <c r="D855" t="s">
        <v>58</v>
      </c>
      <c r="E855" t="s">
        <v>18</v>
      </c>
      <c r="F855" t="s">
        <v>14</v>
      </c>
      <c r="G855" t="s">
        <v>66</v>
      </c>
      <c r="H855" s="5">
        <v>14</v>
      </c>
      <c r="I855" s="3">
        <v>22686</v>
      </c>
      <c r="J855" s="10">
        <v>20</v>
      </c>
      <c r="K855" s="2">
        <v>254083.20000000001</v>
      </c>
      <c r="L855" s="2">
        <f>Raw_Sales_Data3[[#This Row],[Quantity]]*Raw_Sales_Data3[[#This Row],[Unit Price]]*(Raw_Sales_Data3[[#This Row],[Discount %]]/100)</f>
        <v>63520.800000000003</v>
      </c>
      <c r="M855" t="str">
        <f>IF(COUNTIF(Raw_Sales_Data3[Order ID],Raw_Sales_Data3[[#This Row],[Order ID]])&gt;1,"Duplicate Order ID","Unique Order ID")</f>
        <v>Unique Order ID</v>
      </c>
    </row>
    <row r="856" spans="1:13" x14ac:dyDescent="0.3">
      <c r="A856" t="s">
        <v>893</v>
      </c>
      <c r="B856" s="1">
        <v>46040</v>
      </c>
      <c r="C856" t="s">
        <v>91</v>
      </c>
      <c r="D856" t="s">
        <v>70</v>
      </c>
      <c r="E856" t="s">
        <v>39</v>
      </c>
      <c r="F856" t="s">
        <v>19</v>
      </c>
      <c r="G856" t="s">
        <v>40</v>
      </c>
      <c r="H856" s="5">
        <v>15</v>
      </c>
      <c r="I856" s="3">
        <v>38777</v>
      </c>
      <c r="J856" s="10">
        <v>15</v>
      </c>
      <c r="K856" s="2">
        <v>494406.75</v>
      </c>
      <c r="L856" s="2">
        <f>Raw_Sales_Data3[[#This Row],[Quantity]]*Raw_Sales_Data3[[#This Row],[Unit Price]]*(Raw_Sales_Data3[[#This Row],[Discount %]]/100)</f>
        <v>87248.25</v>
      </c>
      <c r="M856" t="str">
        <f>IF(COUNTIF(Raw_Sales_Data3[Order ID],Raw_Sales_Data3[[#This Row],[Order ID]])&gt;1,"Duplicate Order ID","Unique Order ID")</f>
        <v>Unique Order ID</v>
      </c>
    </row>
    <row r="857" spans="1:13" x14ac:dyDescent="0.3">
      <c r="A857" t="s">
        <v>894</v>
      </c>
      <c r="B857" s="1">
        <v>46051</v>
      </c>
      <c r="C857" t="s">
        <v>36</v>
      </c>
      <c r="D857" t="s">
        <v>43</v>
      </c>
      <c r="E857" t="s">
        <v>28</v>
      </c>
      <c r="F857" t="s">
        <v>24</v>
      </c>
      <c r="G857" t="s">
        <v>77</v>
      </c>
      <c r="H857" s="5">
        <v>8</v>
      </c>
      <c r="I857" s="3">
        <v>7041</v>
      </c>
      <c r="J857" s="10">
        <v>10</v>
      </c>
      <c r="K857" s="2">
        <v>50695.199999999997</v>
      </c>
      <c r="L857" s="2">
        <f>Raw_Sales_Data3[[#This Row],[Quantity]]*Raw_Sales_Data3[[#This Row],[Unit Price]]*(Raw_Sales_Data3[[#This Row],[Discount %]]/100)</f>
        <v>5632.8</v>
      </c>
      <c r="M857" t="str">
        <f>IF(COUNTIF(Raw_Sales_Data3[Order ID],Raw_Sales_Data3[[#This Row],[Order ID]])&gt;1,"Duplicate Order ID","Unique Order ID")</f>
        <v>Unique Order ID</v>
      </c>
    </row>
    <row r="858" spans="1:13" x14ac:dyDescent="0.3">
      <c r="A858" t="s">
        <v>895</v>
      </c>
      <c r="B858" s="1">
        <v>46093</v>
      </c>
      <c r="C858" t="s">
        <v>89</v>
      </c>
      <c r="D858" t="s">
        <v>58</v>
      </c>
      <c r="E858" t="s">
        <v>28</v>
      </c>
      <c r="F858" t="s">
        <v>19</v>
      </c>
      <c r="G858" t="s">
        <v>46</v>
      </c>
      <c r="H858" s="5">
        <v>5</v>
      </c>
      <c r="I858" s="3">
        <v>37347</v>
      </c>
      <c r="J858" s="10">
        <v>0</v>
      </c>
      <c r="K858" s="2">
        <v>186735</v>
      </c>
      <c r="L858" s="2">
        <f>Raw_Sales_Data3[[#This Row],[Quantity]]*Raw_Sales_Data3[[#This Row],[Unit Price]]*(Raw_Sales_Data3[[#This Row],[Discount %]]/100)</f>
        <v>0</v>
      </c>
      <c r="M858" t="str">
        <f>IF(COUNTIF(Raw_Sales_Data3[Order ID],Raw_Sales_Data3[[#This Row],[Order ID]])&gt;1,"Duplicate Order ID","Unique Order ID")</f>
        <v>Unique Order ID</v>
      </c>
    </row>
    <row r="859" spans="1:13" x14ac:dyDescent="0.3">
      <c r="A859" t="s">
        <v>896</v>
      </c>
      <c r="B859" s="1">
        <v>46108</v>
      </c>
      <c r="C859" t="s">
        <v>48</v>
      </c>
      <c r="D859" t="s">
        <v>70</v>
      </c>
      <c r="E859" t="s">
        <v>18</v>
      </c>
      <c r="F859" t="s">
        <v>14</v>
      </c>
      <c r="G859" t="s">
        <v>73</v>
      </c>
      <c r="H859" s="5">
        <v>11</v>
      </c>
      <c r="I859" s="3">
        <v>8160</v>
      </c>
      <c r="J859" s="10">
        <v>0</v>
      </c>
      <c r="K859" s="2">
        <v>89760</v>
      </c>
      <c r="L859" s="2">
        <f>Raw_Sales_Data3[[#This Row],[Quantity]]*Raw_Sales_Data3[[#This Row],[Unit Price]]*(Raw_Sales_Data3[[#This Row],[Discount %]]/100)</f>
        <v>0</v>
      </c>
      <c r="M859" t="str">
        <f>IF(COUNTIF(Raw_Sales_Data3[Order ID],Raw_Sales_Data3[[#This Row],[Order ID]])&gt;1,"Duplicate Order ID","Unique Order ID")</f>
        <v>Unique Order ID</v>
      </c>
    </row>
    <row r="860" spans="1:13" x14ac:dyDescent="0.3">
      <c r="A860" t="s">
        <v>897</v>
      </c>
      <c r="B860" s="1">
        <v>46079</v>
      </c>
      <c r="C860" t="s">
        <v>64</v>
      </c>
      <c r="D860" t="s">
        <v>70</v>
      </c>
      <c r="E860" t="s">
        <v>39</v>
      </c>
      <c r="F860" t="s">
        <v>19</v>
      </c>
      <c r="G860" t="s">
        <v>46</v>
      </c>
      <c r="H860" s="5">
        <v>1</v>
      </c>
      <c r="I860" s="3">
        <v>11446</v>
      </c>
      <c r="J860" s="10">
        <v>0</v>
      </c>
      <c r="K860" s="2">
        <v>11446</v>
      </c>
      <c r="L860" s="2">
        <f>Raw_Sales_Data3[[#This Row],[Quantity]]*Raw_Sales_Data3[[#This Row],[Unit Price]]*(Raw_Sales_Data3[[#This Row],[Discount %]]/100)</f>
        <v>0</v>
      </c>
      <c r="M860" t="str">
        <f>IF(COUNTIF(Raw_Sales_Data3[Order ID],Raw_Sales_Data3[[#This Row],[Order ID]])&gt;1,"Duplicate Order ID","Unique Order ID")</f>
        <v>Unique Order ID</v>
      </c>
    </row>
    <row r="861" spans="1:13" x14ac:dyDescent="0.3">
      <c r="A861" t="s">
        <v>898</v>
      </c>
      <c r="B861" s="1">
        <v>46034</v>
      </c>
      <c r="C861" t="s">
        <v>89</v>
      </c>
      <c r="D861" t="s">
        <v>43</v>
      </c>
      <c r="E861" t="s">
        <v>28</v>
      </c>
      <c r="F861" t="s">
        <v>14</v>
      </c>
      <c r="G861" t="s">
        <v>15</v>
      </c>
      <c r="H861" s="5">
        <v>10</v>
      </c>
      <c r="I861" s="3">
        <v>11328</v>
      </c>
      <c r="J861" s="10">
        <v>0</v>
      </c>
      <c r="K861" s="2">
        <v>113280</v>
      </c>
      <c r="L861" s="2">
        <f>Raw_Sales_Data3[[#This Row],[Quantity]]*Raw_Sales_Data3[[#This Row],[Unit Price]]*(Raw_Sales_Data3[[#This Row],[Discount %]]/100)</f>
        <v>0</v>
      </c>
      <c r="M861" t="str">
        <f>IF(COUNTIF(Raw_Sales_Data3[Order ID],Raw_Sales_Data3[[#This Row],[Order ID]])&gt;1,"Duplicate Order ID","Unique Order ID")</f>
        <v>Unique Order ID</v>
      </c>
    </row>
    <row r="862" spans="1:13" x14ac:dyDescent="0.3">
      <c r="A862" t="s">
        <v>899</v>
      </c>
      <c r="B862" s="1">
        <v>46043</v>
      </c>
      <c r="C862" t="s">
        <v>17</v>
      </c>
      <c r="D862" t="s">
        <v>58</v>
      </c>
      <c r="E862" t="s">
        <v>28</v>
      </c>
      <c r="F862" t="s">
        <v>14</v>
      </c>
      <c r="G862" t="s">
        <v>103</v>
      </c>
      <c r="H862" s="5">
        <v>10</v>
      </c>
      <c r="I862" s="3">
        <v>37467</v>
      </c>
      <c r="J862" s="10">
        <v>0</v>
      </c>
      <c r="K862" s="2">
        <v>374670</v>
      </c>
      <c r="L862" s="2">
        <f>Raw_Sales_Data3[[#This Row],[Quantity]]*Raw_Sales_Data3[[#This Row],[Unit Price]]*(Raw_Sales_Data3[[#This Row],[Discount %]]/100)</f>
        <v>0</v>
      </c>
      <c r="M862" t="str">
        <f>IF(COUNTIF(Raw_Sales_Data3[Order ID],Raw_Sales_Data3[[#This Row],[Order ID]])&gt;1,"Duplicate Order ID","Unique Order ID")</f>
        <v>Unique Order ID</v>
      </c>
    </row>
    <row r="863" spans="1:13" x14ac:dyDescent="0.3">
      <c r="A863" t="s">
        <v>900</v>
      </c>
      <c r="B863" s="1">
        <v>46052</v>
      </c>
      <c r="C863" t="s">
        <v>45</v>
      </c>
      <c r="D863" t="s">
        <v>23</v>
      </c>
      <c r="E863" t="s">
        <v>18</v>
      </c>
      <c r="F863" t="s">
        <v>24</v>
      </c>
      <c r="G863" t="s">
        <v>71</v>
      </c>
      <c r="H863" s="5">
        <v>5</v>
      </c>
      <c r="I863" s="3">
        <v>28948</v>
      </c>
      <c r="J863" s="10">
        <v>10</v>
      </c>
      <c r="K863" s="2">
        <v>130266</v>
      </c>
      <c r="L863" s="2">
        <f>Raw_Sales_Data3[[#This Row],[Quantity]]*Raw_Sales_Data3[[#This Row],[Unit Price]]*(Raw_Sales_Data3[[#This Row],[Discount %]]/100)</f>
        <v>14474</v>
      </c>
      <c r="M863" t="str">
        <f>IF(COUNTIF(Raw_Sales_Data3[Order ID],Raw_Sales_Data3[[#This Row],[Order ID]])&gt;1,"Duplicate Order ID","Unique Order ID")</f>
        <v>Unique Order ID</v>
      </c>
    </row>
    <row r="864" spans="1:13" x14ac:dyDescent="0.3">
      <c r="A864" t="s">
        <v>901</v>
      </c>
      <c r="B864" s="1">
        <v>46053</v>
      </c>
      <c r="C864" t="s">
        <v>89</v>
      </c>
      <c r="D864" t="s">
        <v>43</v>
      </c>
      <c r="E864" t="s">
        <v>28</v>
      </c>
      <c r="F864" t="s">
        <v>24</v>
      </c>
      <c r="G864" t="s">
        <v>71</v>
      </c>
      <c r="H864" s="5">
        <v>7</v>
      </c>
      <c r="I864" s="3">
        <v>56164</v>
      </c>
      <c r="J864" s="10">
        <v>15</v>
      </c>
      <c r="K864" s="2">
        <v>334175.8</v>
      </c>
      <c r="L864" s="2">
        <f>Raw_Sales_Data3[[#This Row],[Quantity]]*Raw_Sales_Data3[[#This Row],[Unit Price]]*(Raw_Sales_Data3[[#This Row],[Discount %]]/100)</f>
        <v>58972.2</v>
      </c>
      <c r="M864" t="str">
        <f>IF(COUNTIF(Raw_Sales_Data3[Order ID],Raw_Sales_Data3[[#This Row],[Order ID]])&gt;1,"Duplicate Order ID","Unique Order ID")</f>
        <v>Unique Order ID</v>
      </c>
    </row>
    <row r="865" spans="1:13" x14ac:dyDescent="0.3">
      <c r="A865" t="s">
        <v>902</v>
      </c>
      <c r="B865" s="1">
        <v>46042</v>
      </c>
      <c r="C865" t="s">
        <v>17</v>
      </c>
      <c r="D865" t="s">
        <v>43</v>
      </c>
      <c r="E865" t="s">
        <v>18</v>
      </c>
      <c r="F865" t="s">
        <v>24</v>
      </c>
      <c r="G865" t="s">
        <v>25</v>
      </c>
      <c r="H865" s="5">
        <v>8</v>
      </c>
      <c r="I865" s="3">
        <v>21069</v>
      </c>
      <c r="J865" s="10">
        <v>5</v>
      </c>
      <c r="K865" s="2">
        <v>160124.4</v>
      </c>
      <c r="L865" s="2">
        <f>Raw_Sales_Data3[[#This Row],[Quantity]]*Raw_Sales_Data3[[#This Row],[Unit Price]]*(Raw_Sales_Data3[[#This Row],[Discount %]]/100)</f>
        <v>8427.6</v>
      </c>
      <c r="M865" t="str">
        <f>IF(COUNTIF(Raw_Sales_Data3[Order ID],Raw_Sales_Data3[[#This Row],[Order ID]])&gt;1,"Duplicate Order ID","Unique Order ID")</f>
        <v>Unique Order ID</v>
      </c>
    </row>
    <row r="866" spans="1:13" x14ac:dyDescent="0.3">
      <c r="A866" t="s">
        <v>903</v>
      </c>
      <c r="B866" s="1">
        <v>46111</v>
      </c>
      <c r="C866" t="s">
        <v>54</v>
      </c>
      <c r="D866" t="s">
        <v>43</v>
      </c>
      <c r="E866" t="s">
        <v>13</v>
      </c>
      <c r="F866" t="s">
        <v>19</v>
      </c>
      <c r="G866" t="s">
        <v>20</v>
      </c>
      <c r="H866" s="5">
        <v>5</v>
      </c>
      <c r="I866" s="3">
        <v>46892</v>
      </c>
      <c r="J866" s="10">
        <v>10</v>
      </c>
      <c r="K866" s="2">
        <v>211014</v>
      </c>
      <c r="L866" s="2">
        <f>Raw_Sales_Data3[[#This Row],[Quantity]]*Raw_Sales_Data3[[#This Row],[Unit Price]]*(Raw_Sales_Data3[[#This Row],[Discount %]]/100)</f>
        <v>23446</v>
      </c>
      <c r="M866" t="str">
        <f>IF(COUNTIF(Raw_Sales_Data3[Order ID],Raw_Sales_Data3[[#This Row],[Order ID]])&gt;1,"Duplicate Order ID","Unique Order ID")</f>
        <v>Unique Order ID</v>
      </c>
    </row>
    <row r="867" spans="1:13" x14ac:dyDescent="0.3">
      <c r="A867" t="s">
        <v>904</v>
      </c>
      <c r="B867" s="1">
        <v>46052</v>
      </c>
      <c r="C867" t="s">
        <v>91</v>
      </c>
      <c r="D867" t="s">
        <v>43</v>
      </c>
      <c r="E867" t="s">
        <v>18</v>
      </c>
      <c r="F867" t="s">
        <v>14</v>
      </c>
      <c r="G867" t="s">
        <v>117</v>
      </c>
      <c r="H867" s="5">
        <v>2</v>
      </c>
      <c r="I867" s="3">
        <v>44408</v>
      </c>
      <c r="J867" s="10">
        <v>10</v>
      </c>
      <c r="K867" s="2">
        <v>79934.399999999994</v>
      </c>
      <c r="L867" s="2">
        <f>Raw_Sales_Data3[[#This Row],[Quantity]]*Raw_Sales_Data3[[#This Row],[Unit Price]]*(Raw_Sales_Data3[[#This Row],[Discount %]]/100)</f>
        <v>8881.6</v>
      </c>
      <c r="M867" t="str">
        <f>IF(COUNTIF(Raw_Sales_Data3[Order ID],Raw_Sales_Data3[[#This Row],[Order ID]])&gt;1,"Duplicate Order ID","Unique Order ID")</f>
        <v>Unique Order ID</v>
      </c>
    </row>
    <row r="868" spans="1:13" x14ac:dyDescent="0.3">
      <c r="A868" t="s">
        <v>905</v>
      </c>
      <c r="B868" s="1">
        <v>46095</v>
      </c>
      <c r="C868" t="s">
        <v>42</v>
      </c>
      <c r="D868" t="s">
        <v>58</v>
      </c>
      <c r="E868" t="s">
        <v>34</v>
      </c>
      <c r="F868" t="s">
        <v>14</v>
      </c>
      <c r="G868" t="s">
        <v>103</v>
      </c>
      <c r="H868" s="5">
        <v>1</v>
      </c>
      <c r="I868" s="3">
        <v>7234</v>
      </c>
      <c r="J868" s="10">
        <v>10</v>
      </c>
      <c r="K868" s="2">
        <v>6510.6</v>
      </c>
      <c r="L868" s="2">
        <f>Raw_Sales_Data3[[#This Row],[Quantity]]*Raw_Sales_Data3[[#This Row],[Unit Price]]*(Raw_Sales_Data3[[#This Row],[Discount %]]/100)</f>
        <v>723.40000000000009</v>
      </c>
      <c r="M868" t="str">
        <f>IF(COUNTIF(Raw_Sales_Data3[Order ID],Raw_Sales_Data3[[#This Row],[Order ID]])&gt;1,"Duplicate Order ID","Unique Order ID")</f>
        <v>Unique Order ID</v>
      </c>
    </row>
    <row r="869" spans="1:13" x14ac:dyDescent="0.3">
      <c r="A869" t="s">
        <v>906</v>
      </c>
      <c r="B869" s="1">
        <v>46070</v>
      </c>
      <c r="C869" t="s">
        <v>123</v>
      </c>
      <c r="D869" t="s">
        <v>23</v>
      </c>
      <c r="E869" t="s">
        <v>18</v>
      </c>
      <c r="F869" t="s">
        <v>19</v>
      </c>
      <c r="G869" t="s">
        <v>147</v>
      </c>
      <c r="H869" s="5">
        <v>7</v>
      </c>
      <c r="I869" s="3">
        <v>43491</v>
      </c>
      <c r="J869" s="10">
        <v>20</v>
      </c>
      <c r="K869" s="2">
        <v>243549.6</v>
      </c>
      <c r="L869" s="2">
        <f>Raw_Sales_Data3[[#This Row],[Quantity]]*Raw_Sales_Data3[[#This Row],[Unit Price]]*(Raw_Sales_Data3[[#This Row],[Discount %]]/100)</f>
        <v>60887.4</v>
      </c>
      <c r="M869" t="str">
        <f>IF(COUNTIF(Raw_Sales_Data3[Order ID],Raw_Sales_Data3[[#This Row],[Order ID]])&gt;1,"Duplicate Order ID","Unique Order ID")</f>
        <v>Unique Order ID</v>
      </c>
    </row>
    <row r="870" spans="1:13" x14ac:dyDescent="0.3">
      <c r="A870" t="s">
        <v>907</v>
      </c>
      <c r="B870" s="1">
        <v>46063</v>
      </c>
      <c r="C870" t="s">
        <v>42</v>
      </c>
      <c r="D870" t="s">
        <v>23</v>
      </c>
      <c r="E870" t="s">
        <v>34</v>
      </c>
      <c r="F870" t="s">
        <v>24</v>
      </c>
      <c r="G870" t="s">
        <v>55</v>
      </c>
      <c r="H870" s="5">
        <v>12</v>
      </c>
      <c r="I870" s="3">
        <v>24114</v>
      </c>
      <c r="J870" s="10">
        <v>20</v>
      </c>
      <c r="K870" s="2">
        <v>231494.39999999999</v>
      </c>
      <c r="L870" s="2">
        <f>Raw_Sales_Data3[[#This Row],[Quantity]]*Raw_Sales_Data3[[#This Row],[Unit Price]]*(Raw_Sales_Data3[[#This Row],[Discount %]]/100)</f>
        <v>57873.600000000006</v>
      </c>
      <c r="M870" t="str">
        <f>IF(COUNTIF(Raw_Sales_Data3[Order ID],Raw_Sales_Data3[[#This Row],[Order ID]])&gt;1,"Duplicate Order ID","Unique Order ID")</f>
        <v>Unique Order ID</v>
      </c>
    </row>
    <row r="871" spans="1:13" x14ac:dyDescent="0.3">
      <c r="A871" t="s">
        <v>908</v>
      </c>
      <c r="B871" s="1">
        <v>46107</v>
      </c>
      <c r="C871" t="s">
        <v>27</v>
      </c>
      <c r="D871" t="s">
        <v>70</v>
      </c>
      <c r="E871" t="s">
        <v>39</v>
      </c>
      <c r="F871" t="s">
        <v>24</v>
      </c>
      <c r="G871" t="s">
        <v>53</v>
      </c>
      <c r="H871" s="5">
        <v>15</v>
      </c>
      <c r="I871" s="3">
        <v>21996</v>
      </c>
      <c r="J871" s="10">
        <v>0</v>
      </c>
      <c r="K871" s="2">
        <v>329940</v>
      </c>
      <c r="L871" s="2">
        <f>Raw_Sales_Data3[[#This Row],[Quantity]]*Raw_Sales_Data3[[#This Row],[Unit Price]]*(Raw_Sales_Data3[[#This Row],[Discount %]]/100)</f>
        <v>0</v>
      </c>
      <c r="M871" t="str">
        <f>IF(COUNTIF(Raw_Sales_Data3[Order ID],Raw_Sales_Data3[[#This Row],[Order ID]])&gt;1,"Duplicate Order ID","Unique Order ID")</f>
        <v>Unique Order ID</v>
      </c>
    </row>
    <row r="872" spans="1:13" x14ac:dyDescent="0.3">
      <c r="A872" t="s">
        <v>909</v>
      </c>
      <c r="B872" s="1">
        <v>46051</v>
      </c>
      <c r="C872" t="s">
        <v>123</v>
      </c>
      <c r="D872" t="s">
        <v>58</v>
      </c>
      <c r="E872" t="s">
        <v>13</v>
      </c>
      <c r="F872" t="s">
        <v>24</v>
      </c>
      <c r="G872" t="s">
        <v>53</v>
      </c>
      <c r="H872" s="5">
        <v>3</v>
      </c>
      <c r="I872" s="3">
        <v>53988</v>
      </c>
      <c r="J872" s="10">
        <v>5</v>
      </c>
      <c r="K872" s="2">
        <v>153865.79999999999</v>
      </c>
      <c r="L872" s="2">
        <f>Raw_Sales_Data3[[#This Row],[Quantity]]*Raw_Sales_Data3[[#This Row],[Unit Price]]*(Raw_Sales_Data3[[#This Row],[Discount %]]/100)</f>
        <v>8098.2000000000007</v>
      </c>
      <c r="M872" t="str">
        <f>IF(COUNTIF(Raw_Sales_Data3[Order ID],Raw_Sales_Data3[[#This Row],[Order ID]])&gt;1,"Duplicate Order ID","Unique Order ID")</f>
        <v>Unique Order ID</v>
      </c>
    </row>
    <row r="873" spans="1:13" x14ac:dyDescent="0.3">
      <c r="A873" t="s">
        <v>910</v>
      </c>
      <c r="B873" s="1">
        <v>46106</v>
      </c>
      <c r="C873" t="s">
        <v>36</v>
      </c>
      <c r="D873" t="s">
        <v>58</v>
      </c>
      <c r="E873" t="s">
        <v>13</v>
      </c>
      <c r="F873" t="s">
        <v>19</v>
      </c>
      <c r="G873" t="s">
        <v>120</v>
      </c>
      <c r="H873" s="5">
        <v>9</v>
      </c>
      <c r="I873" s="3">
        <v>21562</v>
      </c>
      <c r="J873" s="10">
        <v>20</v>
      </c>
      <c r="K873" s="2">
        <v>155246.39999999999</v>
      </c>
      <c r="L873" s="2">
        <f>Raw_Sales_Data3[[#This Row],[Quantity]]*Raw_Sales_Data3[[#This Row],[Unit Price]]*(Raw_Sales_Data3[[#This Row],[Discount %]]/100)</f>
        <v>38811.599999999999</v>
      </c>
      <c r="M873" t="str">
        <f>IF(COUNTIF(Raw_Sales_Data3[Order ID],Raw_Sales_Data3[[#This Row],[Order ID]])&gt;1,"Duplicate Order ID","Unique Order ID")</f>
        <v>Unique Order ID</v>
      </c>
    </row>
    <row r="874" spans="1:13" x14ac:dyDescent="0.3">
      <c r="A874" t="s">
        <v>911</v>
      </c>
      <c r="B874" s="1">
        <v>46058</v>
      </c>
      <c r="C874" t="s">
        <v>12</v>
      </c>
      <c r="D874" t="s">
        <v>58</v>
      </c>
      <c r="E874" t="s">
        <v>39</v>
      </c>
      <c r="F874" t="s">
        <v>14</v>
      </c>
      <c r="G874" t="s">
        <v>51</v>
      </c>
      <c r="H874" s="5">
        <v>4</v>
      </c>
      <c r="I874" s="3">
        <v>57163</v>
      </c>
      <c r="J874" s="10">
        <v>15</v>
      </c>
      <c r="K874" s="2">
        <v>194354.2</v>
      </c>
      <c r="L874" s="2">
        <f>Raw_Sales_Data3[[#This Row],[Quantity]]*Raw_Sales_Data3[[#This Row],[Unit Price]]*(Raw_Sales_Data3[[#This Row],[Discount %]]/100)</f>
        <v>34297.799999999996</v>
      </c>
      <c r="M874" t="str">
        <f>IF(COUNTIF(Raw_Sales_Data3[Order ID],Raw_Sales_Data3[[#This Row],[Order ID]])&gt;1,"Duplicate Order ID","Unique Order ID")</f>
        <v>Unique Order ID</v>
      </c>
    </row>
    <row r="875" spans="1:13" x14ac:dyDescent="0.3">
      <c r="A875" t="s">
        <v>912</v>
      </c>
      <c r="B875" s="1">
        <v>46083</v>
      </c>
      <c r="C875" t="s">
        <v>69</v>
      </c>
      <c r="D875" t="s">
        <v>70</v>
      </c>
      <c r="E875" t="s">
        <v>28</v>
      </c>
      <c r="F875" t="s">
        <v>24</v>
      </c>
      <c r="G875" t="s">
        <v>55</v>
      </c>
      <c r="H875" s="5">
        <v>7</v>
      </c>
      <c r="I875" s="3">
        <v>58225</v>
      </c>
      <c r="J875" s="10">
        <v>15</v>
      </c>
      <c r="K875" s="2">
        <v>346438.75</v>
      </c>
      <c r="L875" s="2">
        <f>Raw_Sales_Data3[[#This Row],[Quantity]]*Raw_Sales_Data3[[#This Row],[Unit Price]]*(Raw_Sales_Data3[[#This Row],[Discount %]]/100)</f>
        <v>61136.25</v>
      </c>
      <c r="M875" t="str">
        <f>IF(COUNTIF(Raw_Sales_Data3[Order ID],Raw_Sales_Data3[[#This Row],[Order ID]])&gt;1,"Duplicate Order ID","Unique Order ID")</f>
        <v>Unique Order ID</v>
      </c>
    </row>
    <row r="876" spans="1:13" x14ac:dyDescent="0.3">
      <c r="A876" t="s">
        <v>913</v>
      </c>
      <c r="B876" s="1">
        <v>46112</v>
      </c>
      <c r="C876" t="s">
        <v>48</v>
      </c>
      <c r="D876" t="s">
        <v>23</v>
      </c>
      <c r="E876" t="s">
        <v>34</v>
      </c>
      <c r="F876" t="s">
        <v>19</v>
      </c>
      <c r="G876" t="s">
        <v>77</v>
      </c>
      <c r="H876" s="5">
        <v>13</v>
      </c>
      <c r="I876" s="3">
        <v>23197</v>
      </c>
      <c r="J876" s="10">
        <v>0</v>
      </c>
      <c r="K876" s="2">
        <v>301561</v>
      </c>
      <c r="L876" s="2">
        <f>Raw_Sales_Data3[[#This Row],[Quantity]]*Raw_Sales_Data3[[#This Row],[Unit Price]]*(Raw_Sales_Data3[[#This Row],[Discount %]]/100)</f>
        <v>0</v>
      </c>
      <c r="M876" t="str">
        <f>IF(COUNTIF(Raw_Sales_Data3[Order ID],Raw_Sales_Data3[[#This Row],[Order ID]])&gt;1,"Duplicate Order ID","Unique Order ID")</f>
        <v>Unique Order ID</v>
      </c>
    </row>
    <row r="877" spans="1:13" x14ac:dyDescent="0.3">
      <c r="A877" t="s">
        <v>914</v>
      </c>
      <c r="B877" s="1">
        <v>46023</v>
      </c>
      <c r="C877" t="s">
        <v>33</v>
      </c>
      <c r="D877" t="s">
        <v>43</v>
      </c>
      <c r="E877" t="s">
        <v>34</v>
      </c>
      <c r="F877" t="s">
        <v>14</v>
      </c>
      <c r="G877" t="s">
        <v>103</v>
      </c>
      <c r="H877" s="5">
        <v>4</v>
      </c>
      <c r="I877" s="3">
        <v>14599</v>
      </c>
      <c r="J877" s="10">
        <v>10</v>
      </c>
      <c r="K877" s="2">
        <v>52556.4</v>
      </c>
      <c r="L877" s="2">
        <f>Raw_Sales_Data3[[#This Row],[Quantity]]*Raw_Sales_Data3[[#This Row],[Unit Price]]*(Raw_Sales_Data3[[#This Row],[Discount %]]/100)</f>
        <v>5839.6</v>
      </c>
      <c r="M877" t="str">
        <f>IF(COUNTIF(Raw_Sales_Data3[Order ID],Raw_Sales_Data3[[#This Row],[Order ID]])&gt;1,"Duplicate Order ID","Unique Order ID")</f>
        <v>Unique Order ID</v>
      </c>
    </row>
    <row r="878" spans="1:13" x14ac:dyDescent="0.3">
      <c r="A878" t="s">
        <v>915</v>
      </c>
      <c r="B878" s="1">
        <v>46038</v>
      </c>
      <c r="C878" t="s">
        <v>12</v>
      </c>
      <c r="D878" t="s">
        <v>58</v>
      </c>
      <c r="E878" t="s">
        <v>18</v>
      </c>
      <c r="F878" t="s">
        <v>19</v>
      </c>
      <c r="G878" t="s">
        <v>31</v>
      </c>
      <c r="H878" s="5">
        <v>6</v>
      </c>
      <c r="I878" s="3">
        <v>15520</v>
      </c>
      <c r="J878" s="10">
        <v>5</v>
      </c>
      <c r="K878" s="2">
        <v>88464</v>
      </c>
      <c r="L878" s="2">
        <f>Raw_Sales_Data3[[#This Row],[Quantity]]*Raw_Sales_Data3[[#This Row],[Unit Price]]*(Raw_Sales_Data3[[#This Row],[Discount %]]/100)</f>
        <v>4656</v>
      </c>
      <c r="M878" t="str">
        <f>IF(COUNTIF(Raw_Sales_Data3[Order ID],Raw_Sales_Data3[[#This Row],[Order ID]])&gt;1,"Duplicate Order ID","Unique Order ID")</f>
        <v>Unique Order ID</v>
      </c>
    </row>
    <row r="879" spans="1:13" x14ac:dyDescent="0.3">
      <c r="A879" t="s">
        <v>916</v>
      </c>
      <c r="B879" s="1">
        <v>46095</v>
      </c>
      <c r="C879" t="s">
        <v>48</v>
      </c>
      <c r="D879" t="s">
        <v>23</v>
      </c>
      <c r="E879" t="s">
        <v>13</v>
      </c>
      <c r="F879" t="s">
        <v>24</v>
      </c>
      <c r="G879" t="s">
        <v>25</v>
      </c>
      <c r="H879" s="5">
        <v>6</v>
      </c>
      <c r="I879" s="3">
        <v>32369</v>
      </c>
      <c r="J879" s="10">
        <v>15</v>
      </c>
      <c r="K879" s="2">
        <v>165081.9</v>
      </c>
      <c r="L879" s="2">
        <f>Raw_Sales_Data3[[#This Row],[Quantity]]*Raw_Sales_Data3[[#This Row],[Unit Price]]*(Raw_Sales_Data3[[#This Row],[Discount %]]/100)</f>
        <v>29132.1</v>
      </c>
      <c r="M879" t="str">
        <f>IF(COUNTIF(Raw_Sales_Data3[Order ID],Raw_Sales_Data3[[#This Row],[Order ID]])&gt;1,"Duplicate Order ID","Unique Order ID")</f>
        <v>Unique Order ID</v>
      </c>
    </row>
    <row r="880" spans="1:13" x14ac:dyDescent="0.3">
      <c r="A880" t="s">
        <v>917</v>
      </c>
      <c r="B880" s="1">
        <v>46108</v>
      </c>
      <c r="C880" t="s">
        <v>33</v>
      </c>
      <c r="D880" t="s">
        <v>70</v>
      </c>
      <c r="E880" t="s">
        <v>18</v>
      </c>
      <c r="F880" t="s">
        <v>24</v>
      </c>
      <c r="G880" t="s">
        <v>71</v>
      </c>
      <c r="H880" s="5">
        <v>13</v>
      </c>
      <c r="I880" s="3">
        <v>31768</v>
      </c>
      <c r="J880" s="10">
        <v>0</v>
      </c>
      <c r="K880" s="2">
        <v>412984</v>
      </c>
      <c r="L880" s="2">
        <f>Raw_Sales_Data3[[#This Row],[Quantity]]*Raw_Sales_Data3[[#This Row],[Unit Price]]*(Raw_Sales_Data3[[#This Row],[Discount %]]/100)</f>
        <v>0</v>
      </c>
      <c r="M880" t="str">
        <f>IF(COUNTIF(Raw_Sales_Data3[Order ID],Raw_Sales_Data3[[#This Row],[Order ID]])&gt;1,"Duplicate Order ID","Unique Order ID")</f>
        <v>Unique Order ID</v>
      </c>
    </row>
    <row r="881" spans="1:13" x14ac:dyDescent="0.3">
      <c r="A881" t="s">
        <v>918</v>
      </c>
      <c r="B881" s="1">
        <v>46032</v>
      </c>
      <c r="C881" t="s">
        <v>33</v>
      </c>
      <c r="D881" t="s">
        <v>23</v>
      </c>
      <c r="E881" t="s">
        <v>34</v>
      </c>
      <c r="F881" t="s">
        <v>19</v>
      </c>
      <c r="G881" t="s">
        <v>79</v>
      </c>
      <c r="H881" s="5">
        <v>7</v>
      </c>
      <c r="I881" s="3">
        <v>33274</v>
      </c>
      <c r="J881" s="10">
        <v>0</v>
      </c>
      <c r="K881" s="2">
        <v>232918</v>
      </c>
      <c r="L881" s="2">
        <f>Raw_Sales_Data3[[#This Row],[Quantity]]*Raw_Sales_Data3[[#This Row],[Unit Price]]*(Raw_Sales_Data3[[#This Row],[Discount %]]/100)</f>
        <v>0</v>
      </c>
      <c r="M881" t="str">
        <f>IF(COUNTIF(Raw_Sales_Data3[Order ID],Raw_Sales_Data3[[#This Row],[Order ID]])&gt;1,"Duplicate Order ID","Unique Order ID")</f>
        <v>Unique Order ID</v>
      </c>
    </row>
    <row r="882" spans="1:13" x14ac:dyDescent="0.3">
      <c r="A882" t="s">
        <v>919</v>
      </c>
      <c r="B882" s="1">
        <v>46043</v>
      </c>
      <c r="C882" t="s">
        <v>42</v>
      </c>
      <c r="D882" t="s">
        <v>43</v>
      </c>
      <c r="E882" t="s">
        <v>13</v>
      </c>
      <c r="F882" t="s">
        <v>19</v>
      </c>
      <c r="G882" t="s">
        <v>79</v>
      </c>
      <c r="H882" s="5">
        <v>9</v>
      </c>
      <c r="I882" s="3">
        <v>15661</v>
      </c>
      <c r="J882" s="10">
        <v>0</v>
      </c>
      <c r="K882" s="2">
        <v>140949</v>
      </c>
      <c r="L882" s="2">
        <f>Raw_Sales_Data3[[#This Row],[Quantity]]*Raw_Sales_Data3[[#This Row],[Unit Price]]*(Raw_Sales_Data3[[#This Row],[Discount %]]/100)</f>
        <v>0</v>
      </c>
      <c r="M882" t="str">
        <f>IF(COUNTIF(Raw_Sales_Data3[Order ID],Raw_Sales_Data3[[#This Row],[Order ID]])&gt;1,"Duplicate Order ID","Unique Order ID")</f>
        <v>Unique Order ID</v>
      </c>
    </row>
    <row r="883" spans="1:13" x14ac:dyDescent="0.3">
      <c r="A883" t="s">
        <v>920</v>
      </c>
      <c r="B883" s="1">
        <v>46058</v>
      </c>
      <c r="C883" t="s">
        <v>42</v>
      </c>
      <c r="D883" t="s">
        <v>43</v>
      </c>
      <c r="E883" t="s">
        <v>34</v>
      </c>
      <c r="F883" t="s">
        <v>24</v>
      </c>
      <c r="G883" t="s">
        <v>71</v>
      </c>
      <c r="H883" s="5">
        <v>3</v>
      </c>
      <c r="I883" s="3">
        <v>59519</v>
      </c>
      <c r="J883" s="10">
        <v>10</v>
      </c>
      <c r="K883" s="2">
        <v>160701.29999999999</v>
      </c>
      <c r="L883" s="2">
        <f>Raw_Sales_Data3[[#This Row],[Quantity]]*Raw_Sales_Data3[[#This Row],[Unit Price]]*(Raw_Sales_Data3[[#This Row],[Discount %]]/100)</f>
        <v>17855.7</v>
      </c>
      <c r="M883" t="str">
        <f>IF(COUNTIF(Raw_Sales_Data3[Order ID],Raw_Sales_Data3[[#This Row],[Order ID]])&gt;1,"Duplicate Order ID","Unique Order ID")</f>
        <v>Unique Order ID</v>
      </c>
    </row>
    <row r="884" spans="1:13" x14ac:dyDescent="0.3">
      <c r="A884" t="s">
        <v>921</v>
      </c>
      <c r="B884" s="1">
        <v>46100</v>
      </c>
      <c r="C884" t="s">
        <v>33</v>
      </c>
      <c r="D884" t="s">
        <v>23</v>
      </c>
      <c r="E884" t="s">
        <v>34</v>
      </c>
      <c r="F884" t="s">
        <v>14</v>
      </c>
      <c r="G884" t="s">
        <v>156</v>
      </c>
      <c r="H884" s="5">
        <v>3</v>
      </c>
      <c r="I884" s="3">
        <v>22341</v>
      </c>
      <c r="J884" s="10">
        <v>0</v>
      </c>
      <c r="K884" s="2">
        <v>67023</v>
      </c>
      <c r="L884" s="2">
        <f>Raw_Sales_Data3[[#This Row],[Quantity]]*Raw_Sales_Data3[[#This Row],[Unit Price]]*(Raw_Sales_Data3[[#This Row],[Discount %]]/100)</f>
        <v>0</v>
      </c>
      <c r="M884" t="str">
        <f>IF(COUNTIF(Raw_Sales_Data3[Order ID],Raw_Sales_Data3[[#This Row],[Order ID]])&gt;1,"Duplicate Order ID","Unique Order ID")</f>
        <v>Unique Order ID</v>
      </c>
    </row>
    <row r="885" spans="1:13" x14ac:dyDescent="0.3">
      <c r="A885" t="s">
        <v>922</v>
      </c>
      <c r="B885" s="1">
        <v>46106</v>
      </c>
      <c r="C885" t="s">
        <v>54</v>
      </c>
      <c r="D885" t="s">
        <v>23</v>
      </c>
      <c r="E885" t="s">
        <v>13</v>
      </c>
      <c r="F885" t="s">
        <v>14</v>
      </c>
      <c r="G885" t="s">
        <v>66</v>
      </c>
      <c r="H885" s="5">
        <v>2</v>
      </c>
      <c r="I885" s="3">
        <v>4999</v>
      </c>
      <c r="J885" s="10">
        <v>20</v>
      </c>
      <c r="K885" s="2">
        <v>7998.4</v>
      </c>
      <c r="L885" s="2">
        <f>Raw_Sales_Data3[[#This Row],[Quantity]]*Raw_Sales_Data3[[#This Row],[Unit Price]]*(Raw_Sales_Data3[[#This Row],[Discount %]]/100)</f>
        <v>1999.6000000000001</v>
      </c>
      <c r="M885" t="str">
        <f>IF(COUNTIF(Raw_Sales_Data3[Order ID],Raw_Sales_Data3[[#This Row],[Order ID]])&gt;1,"Duplicate Order ID","Unique Order ID")</f>
        <v>Unique Order ID</v>
      </c>
    </row>
    <row r="886" spans="1:13" x14ac:dyDescent="0.3">
      <c r="A886" t="s">
        <v>923</v>
      </c>
      <c r="B886" s="1">
        <v>46085</v>
      </c>
      <c r="C886" t="s">
        <v>45</v>
      </c>
      <c r="D886" t="s">
        <v>70</v>
      </c>
      <c r="E886" t="s">
        <v>34</v>
      </c>
      <c r="F886" t="s">
        <v>24</v>
      </c>
      <c r="G886" t="s">
        <v>71</v>
      </c>
      <c r="H886" s="5">
        <v>2</v>
      </c>
      <c r="I886" s="3">
        <v>27513</v>
      </c>
      <c r="J886" s="10">
        <v>5</v>
      </c>
      <c r="K886" s="2">
        <v>52274.7</v>
      </c>
      <c r="L886" s="2">
        <f>Raw_Sales_Data3[[#This Row],[Quantity]]*Raw_Sales_Data3[[#This Row],[Unit Price]]*(Raw_Sales_Data3[[#This Row],[Discount %]]/100)</f>
        <v>2751.3</v>
      </c>
      <c r="M886" t="str">
        <f>IF(COUNTIF(Raw_Sales_Data3[Order ID],Raw_Sales_Data3[[#This Row],[Order ID]])&gt;1,"Duplicate Order ID","Unique Order ID")</f>
        <v>Unique Order ID</v>
      </c>
    </row>
    <row r="887" spans="1:13" x14ac:dyDescent="0.3">
      <c r="A887" t="s">
        <v>924</v>
      </c>
      <c r="B887" s="1">
        <v>46095</v>
      </c>
      <c r="C887" t="s">
        <v>123</v>
      </c>
      <c r="D887" t="s">
        <v>58</v>
      </c>
      <c r="E887" t="s">
        <v>34</v>
      </c>
      <c r="F887" t="s">
        <v>19</v>
      </c>
      <c r="G887" t="s">
        <v>46</v>
      </c>
      <c r="H887" s="5">
        <v>11</v>
      </c>
      <c r="I887" s="3">
        <v>33442</v>
      </c>
      <c r="J887" s="10">
        <v>5</v>
      </c>
      <c r="K887" s="2">
        <v>349468.9</v>
      </c>
      <c r="L887" s="2">
        <f>Raw_Sales_Data3[[#This Row],[Quantity]]*Raw_Sales_Data3[[#This Row],[Unit Price]]*(Raw_Sales_Data3[[#This Row],[Discount %]]/100)</f>
        <v>18393.100000000002</v>
      </c>
      <c r="M887" t="str">
        <f>IF(COUNTIF(Raw_Sales_Data3[Order ID],Raw_Sales_Data3[[#This Row],[Order ID]])&gt;1,"Duplicate Order ID","Unique Order ID")</f>
        <v>Unique Order ID</v>
      </c>
    </row>
    <row r="888" spans="1:13" x14ac:dyDescent="0.3">
      <c r="A888" t="s">
        <v>925</v>
      </c>
      <c r="B888" s="1">
        <v>46089</v>
      </c>
      <c r="C888" t="s">
        <v>36</v>
      </c>
      <c r="D888" t="s">
        <v>43</v>
      </c>
      <c r="E888" t="s">
        <v>13</v>
      </c>
      <c r="F888" t="s">
        <v>14</v>
      </c>
      <c r="G888" t="s">
        <v>15</v>
      </c>
      <c r="H888" s="5">
        <v>15</v>
      </c>
      <c r="I888" s="3">
        <v>32798</v>
      </c>
      <c r="J888" s="10">
        <v>0</v>
      </c>
      <c r="K888" s="2">
        <v>491970</v>
      </c>
      <c r="L888" s="2">
        <f>Raw_Sales_Data3[[#This Row],[Quantity]]*Raw_Sales_Data3[[#This Row],[Unit Price]]*(Raw_Sales_Data3[[#This Row],[Discount %]]/100)</f>
        <v>0</v>
      </c>
      <c r="M888" t="str">
        <f>IF(COUNTIF(Raw_Sales_Data3[Order ID],Raw_Sales_Data3[[#This Row],[Order ID]])&gt;1,"Duplicate Order ID","Unique Order ID")</f>
        <v>Unique Order ID</v>
      </c>
    </row>
    <row r="889" spans="1:13" x14ac:dyDescent="0.3">
      <c r="A889" t="s">
        <v>926</v>
      </c>
      <c r="B889" s="1">
        <v>46105</v>
      </c>
      <c r="C889" t="s">
        <v>12</v>
      </c>
      <c r="D889" t="s">
        <v>23</v>
      </c>
      <c r="E889" t="s">
        <v>13</v>
      </c>
      <c r="F889" t="s">
        <v>14</v>
      </c>
      <c r="G889" t="s">
        <v>15</v>
      </c>
      <c r="H889" s="5">
        <v>10</v>
      </c>
      <c r="I889" s="3">
        <v>54423</v>
      </c>
      <c r="J889" s="10">
        <v>15</v>
      </c>
      <c r="K889" s="2">
        <v>462595.5</v>
      </c>
      <c r="L889" s="2">
        <f>Raw_Sales_Data3[[#This Row],[Quantity]]*Raw_Sales_Data3[[#This Row],[Unit Price]]*(Raw_Sales_Data3[[#This Row],[Discount %]]/100)</f>
        <v>81634.5</v>
      </c>
      <c r="M889" t="str">
        <f>IF(COUNTIF(Raw_Sales_Data3[Order ID],Raw_Sales_Data3[[#This Row],[Order ID]])&gt;1,"Duplicate Order ID","Unique Order ID")</f>
        <v>Unique Order ID</v>
      </c>
    </row>
    <row r="890" spans="1:13" x14ac:dyDescent="0.3">
      <c r="A890" t="s">
        <v>927</v>
      </c>
      <c r="B890" s="1">
        <v>46030</v>
      </c>
      <c r="C890" t="s">
        <v>50</v>
      </c>
      <c r="D890" t="s">
        <v>70</v>
      </c>
      <c r="E890" t="s">
        <v>39</v>
      </c>
      <c r="F890" t="s">
        <v>14</v>
      </c>
      <c r="G890" t="s">
        <v>73</v>
      </c>
      <c r="H890" s="5">
        <v>3</v>
      </c>
      <c r="I890" s="3">
        <v>17100</v>
      </c>
      <c r="J890" s="10">
        <v>0</v>
      </c>
      <c r="K890" s="2">
        <v>51300</v>
      </c>
      <c r="L890" s="2">
        <f>Raw_Sales_Data3[[#This Row],[Quantity]]*Raw_Sales_Data3[[#This Row],[Unit Price]]*(Raw_Sales_Data3[[#This Row],[Discount %]]/100)</f>
        <v>0</v>
      </c>
      <c r="M890" t="str">
        <f>IF(COUNTIF(Raw_Sales_Data3[Order ID],Raw_Sales_Data3[[#This Row],[Order ID]])&gt;1,"Duplicate Order ID","Unique Order ID")</f>
        <v>Unique Order ID</v>
      </c>
    </row>
    <row r="891" spans="1:13" x14ac:dyDescent="0.3">
      <c r="A891" t="s">
        <v>928</v>
      </c>
      <c r="B891" s="1">
        <v>46102</v>
      </c>
      <c r="C891" t="s">
        <v>89</v>
      </c>
      <c r="D891" t="s">
        <v>43</v>
      </c>
      <c r="E891" t="s">
        <v>13</v>
      </c>
      <c r="F891" t="s">
        <v>24</v>
      </c>
      <c r="G891" t="s">
        <v>77</v>
      </c>
      <c r="H891" s="5">
        <v>12</v>
      </c>
      <c r="I891" s="3">
        <v>53167</v>
      </c>
      <c r="J891" s="10">
        <v>0</v>
      </c>
      <c r="K891" s="2">
        <v>638004</v>
      </c>
      <c r="L891" s="2">
        <f>Raw_Sales_Data3[[#This Row],[Quantity]]*Raw_Sales_Data3[[#This Row],[Unit Price]]*(Raw_Sales_Data3[[#This Row],[Discount %]]/100)</f>
        <v>0</v>
      </c>
      <c r="M891" t="str">
        <f>IF(COUNTIF(Raw_Sales_Data3[Order ID],Raw_Sales_Data3[[#This Row],[Order ID]])&gt;1,"Duplicate Order ID","Unique Order ID")</f>
        <v>Unique Order ID</v>
      </c>
    </row>
    <row r="892" spans="1:13" x14ac:dyDescent="0.3">
      <c r="A892" t="s">
        <v>929</v>
      </c>
      <c r="B892" s="1">
        <v>46051</v>
      </c>
      <c r="C892" t="s">
        <v>12</v>
      </c>
      <c r="D892" t="s">
        <v>70</v>
      </c>
      <c r="E892" t="s">
        <v>18</v>
      </c>
      <c r="F892" t="s">
        <v>24</v>
      </c>
      <c r="G892" t="s">
        <v>25</v>
      </c>
      <c r="H892" s="5">
        <v>11</v>
      </c>
      <c r="I892" s="3">
        <v>19898</v>
      </c>
      <c r="J892" s="10">
        <v>0</v>
      </c>
      <c r="K892" s="2">
        <v>218878</v>
      </c>
      <c r="L892" s="2">
        <f>Raw_Sales_Data3[[#This Row],[Quantity]]*Raw_Sales_Data3[[#This Row],[Unit Price]]*(Raw_Sales_Data3[[#This Row],[Discount %]]/100)</f>
        <v>0</v>
      </c>
      <c r="M892" t="str">
        <f>IF(COUNTIF(Raw_Sales_Data3[Order ID],Raw_Sales_Data3[[#This Row],[Order ID]])&gt;1,"Duplicate Order ID","Unique Order ID")</f>
        <v>Unique Order ID</v>
      </c>
    </row>
    <row r="893" spans="1:13" x14ac:dyDescent="0.3">
      <c r="A893" t="s">
        <v>930</v>
      </c>
      <c r="B893" s="1">
        <v>46035</v>
      </c>
      <c r="C893" t="s">
        <v>57</v>
      </c>
      <c r="D893" t="s">
        <v>58</v>
      </c>
      <c r="E893" t="s">
        <v>13</v>
      </c>
      <c r="F893" t="s">
        <v>24</v>
      </c>
      <c r="G893" t="s">
        <v>71</v>
      </c>
      <c r="H893" s="5">
        <v>9</v>
      </c>
      <c r="I893" s="3">
        <v>23334</v>
      </c>
      <c r="J893" s="10">
        <v>0</v>
      </c>
      <c r="K893" s="2">
        <v>210006</v>
      </c>
      <c r="L893" s="2">
        <f>Raw_Sales_Data3[[#This Row],[Quantity]]*Raw_Sales_Data3[[#This Row],[Unit Price]]*(Raw_Sales_Data3[[#This Row],[Discount %]]/100)</f>
        <v>0</v>
      </c>
      <c r="M893" t="str">
        <f>IF(COUNTIF(Raw_Sales_Data3[Order ID],Raw_Sales_Data3[[#This Row],[Order ID]])&gt;1,"Duplicate Order ID","Unique Order ID")</f>
        <v>Unique Order ID</v>
      </c>
    </row>
    <row r="894" spans="1:13" x14ac:dyDescent="0.3">
      <c r="A894" t="s">
        <v>931</v>
      </c>
      <c r="B894" s="1">
        <v>46067</v>
      </c>
      <c r="C894" t="s">
        <v>91</v>
      </c>
      <c r="D894" t="s">
        <v>58</v>
      </c>
      <c r="E894" t="s">
        <v>28</v>
      </c>
      <c r="F894" t="s">
        <v>24</v>
      </c>
      <c r="G894" t="s">
        <v>77</v>
      </c>
      <c r="H894" s="5">
        <v>3</v>
      </c>
      <c r="I894" s="3">
        <v>42224</v>
      </c>
      <c r="J894" s="10">
        <v>20</v>
      </c>
      <c r="K894" s="2">
        <v>101337.60000000001</v>
      </c>
      <c r="L894" s="2">
        <f>Raw_Sales_Data3[[#This Row],[Quantity]]*Raw_Sales_Data3[[#This Row],[Unit Price]]*(Raw_Sales_Data3[[#This Row],[Discount %]]/100)</f>
        <v>25334.400000000001</v>
      </c>
      <c r="M894" t="str">
        <f>IF(COUNTIF(Raw_Sales_Data3[Order ID],Raw_Sales_Data3[[#This Row],[Order ID]])&gt;1,"Duplicate Order ID","Unique Order ID")</f>
        <v>Unique Order ID</v>
      </c>
    </row>
    <row r="895" spans="1:13" x14ac:dyDescent="0.3">
      <c r="A895" t="s">
        <v>932</v>
      </c>
      <c r="B895" s="1">
        <v>46078</v>
      </c>
      <c r="C895" t="s">
        <v>64</v>
      </c>
      <c r="D895" t="s">
        <v>70</v>
      </c>
      <c r="E895" t="s">
        <v>34</v>
      </c>
      <c r="F895" t="s">
        <v>19</v>
      </c>
      <c r="G895" t="s">
        <v>59</v>
      </c>
      <c r="H895" s="5">
        <v>2</v>
      </c>
      <c r="I895" s="3">
        <v>22661</v>
      </c>
      <c r="J895" s="10">
        <v>0</v>
      </c>
      <c r="K895" s="2">
        <v>45322</v>
      </c>
      <c r="L895" s="2">
        <f>Raw_Sales_Data3[[#This Row],[Quantity]]*Raw_Sales_Data3[[#This Row],[Unit Price]]*(Raw_Sales_Data3[[#This Row],[Discount %]]/100)</f>
        <v>0</v>
      </c>
      <c r="M895" t="str">
        <f>IF(COUNTIF(Raw_Sales_Data3[Order ID],Raw_Sales_Data3[[#This Row],[Order ID]])&gt;1,"Duplicate Order ID","Unique Order ID")</f>
        <v>Unique Order ID</v>
      </c>
    </row>
    <row r="896" spans="1:13" x14ac:dyDescent="0.3">
      <c r="A896" t="s">
        <v>933</v>
      </c>
      <c r="B896" s="1">
        <v>46050</v>
      </c>
      <c r="C896" t="s">
        <v>38</v>
      </c>
      <c r="D896" t="s">
        <v>58</v>
      </c>
      <c r="E896" t="s">
        <v>18</v>
      </c>
      <c r="F896" t="s">
        <v>19</v>
      </c>
      <c r="G896" t="s">
        <v>103</v>
      </c>
      <c r="H896" s="5">
        <v>11</v>
      </c>
      <c r="I896" s="3">
        <v>22580</v>
      </c>
      <c r="J896" s="10">
        <v>0</v>
      </c>
      <c r="K896" s="2">
        <v>248380</v>
      </c>
      <c r="L896" s="2">
        <f>Raw_Sales_Data3[[#This Row],[Quantity]]*Raw_Sales_Data3[[#This Row],[Unit Price]]*(Raw_Sales_Data3[[#This Row],[Discount %]]/100)</f>
        <v>0</v>
      </c>
      <c r="M896" t="str">
        <f>IF(COUNTIF(Raw_Sales_Data3[Order ID],Raw_Sales_Data3[[#This Row],[Order ID]])&gt;1,"Duplicate Order ID","Unique Order ID")</f>
        <v>Unique Order ID</v>
      </c>
    </row>
    <row r="897" spans="1:13" x14ac:dyDescent="0.3">
      <c r="A897" t="s">
        <v>934</v>
      </c>
      <c r="B897" s="1">
        <v>46049</v>
      </c>
      <c r="C897" t="s">
        <v>123</v>
      </c>
      <c r="D897" t="s">
        <v>70</v>
      </c>
      <c r="E897" t="s">
        <v>28</v>
      </c>
      <c r="F897" t="s">
        <v>19</v>
      </c>
      <c r="G897" t="s">
        <v>120</v>
      </c>
      <c r="H897" s="5">
        <v>3</v>
      </c>
      <c r="I897" s="3">
        <v>20241</v>
      </c>
      <c r="J897" s="10">
        <v>0</v>
      </c>
      <c r="K897" s="2">
        <v>60723</v>
      </c>
      <c r="L897" s="2">
        <f>Raw_Sales_Data3[[#This Row],[Quantity]]*Raw_Sales_Data3[[#This Row],[Unit Price]]*(Raw_Sales_Data3[[#This Row],[Discount %]]/100)</f>
        <v>0</v>
      </c>
      <c r="M897" t="str">
        <f>IF(COUNTIF(Raw_Sales_Data3[Order ID],Raw_Sales_Data3[[#This Row],[Order ID]])&gt;1,"Duplicate Order ID","Unique Order ID")</f>
        <v>Unique Order ID</v>
      </c>
    </row>
    <row r="898" spans="1:13" x14ac:dyDescent="0.3">
      <c r="A898" t="s">
        <v>935</v>
      </c>
      <c r="B898" s="1">
        <v>46030</v>
      </c>
      <c r="C898" t="s">
        <v>48</v>
      </c>
      <c r="D898" t="s">
        <v>70</v>
      </c>
      <c r="E898" t="s">
        <v>34</v>
      </c>
      <c r="F898" t="s">
        <v>14</v>
      </c>
      <c r="G898" t="s">
        <v>125</v>
      </c>
      <c r="H898" s="5">
        <v>12</v>
      </c>
      <c r="I898" s="3">
        <v>30479</v>
      </c>
      <c r="J898" s="10">
        <v>5</v>
      </c>
      <c r="K898" s="2">
        <v>347460.6</v>
      </c>
      <c r="L898" s="2">
        <f>Raw_Sales_Data3[[#This Row],[Quantity]]*Raw_Sales_Data3[[#This Row],[Unit Price]]*(Raw_Sales_Data3[[#This Row],[Discount %]]/100)</f>
        <v>18287.400000000001</v>
      </c>
      <c r="M898" t="str">
        <f>IF(COUNTIF(Raw_Sales_Data3[Order ID],Raw_Sales_Data3[[#This Row],[Order ID]])&gt;1,"Duplicate Order ID","Unique Order ID")</f>
        <v>Unique Order ID</v>
      </c>
    </row>
    <row r="899" spans="1:13" x14ac:dyDescent="0.3">
      <c r="A899" t="s">
        <v>936</v>
      </c>
      <c r="B899" s="1">
        <v>46070</v>
      </c>
      <c r="C899" t="s">
        <v>69</v>
      </c>
      <c r="D899" t="s">
        <v>43</v>
      </c>
      <c r="E899" t="s">
        <v>34</v>
      </c>
      <c r="F899" t="s">
        <v>24</v>
      </c>
      <c r="G899" t="s">
        <v>77</v>
      </c>
      <c r="H899" s="5">
        <v>7</v>
      </c>
      <c r="I899" s="3">
        <v>7638</v>
      </c>
      <c r="J899" s="10">
        <v>20</v>
      </c>
      <c r="K899" s="2">
        <v>42772.800000000003</v>
      </c>
      <c r="L899" s="2">
        <f>Raw_Sales_Data3[[#This Row],[Quantity]]*Raw_Sales_Data3[[#This Row],[Unit Price]]*(Raw_Sales_Data3[[#This Row],[Discount %]]/100)</f>
        <v>10693.2</v>
      </c>
      <c r="M899" t="str">
        <f>IF(COUNTIF(Raw_Sales_Data3[Order ID],Raw_Sales_Data3[[#This Row],[Order ID]])&gt;1,"Duplicate Order ID","Unique Order ID")</f>
        <v>Unique Order ID</v>
      </c>
    </row>
    <row r="900" spans="1:13" x14ac:dyDescent="0.3">
      <c r="A900" t="s">
        <v>937</v>
      </c>
      <c r="B900" s="1">
        <v>46099</v>
      </c>
      <c r="C900" t="s">
        <v>123</v>
      </c>
      <c r="D900" t="s">
        <v>23</v>
      </c>
      <c r="E900" t="s">
        <v>39</v>
      </c>
      <c r="F900" t="s">
        <v>24</v>
      </c>
      <c r="G900" t="s">
        <v>71</v>
      </c>
      <c r="H900" s="5">
        <v>13</v>
      </c>
      <c r="I900" s="3">
        <v>24411</v>
      </c>
      <c r="J900" s="10">
        <v>15</v>
      </c>
      <c r="K900" s="2">
        <v>269741.55</v>
      </c>
      <c r="L900" s="2">
        <f>Raw_Sales_Data3[[#This Row],[Quantity]]*Raw_Sales_Data3[[#This Row],[Unit Price]]*(Raw_Sales_Data3[[#This Row],[Discount %]]/100)</f>
        <v>47601.45</v>
      </c>
      <c r="M900" t="str">
        <f>IF(COUNTIF(Raw_Sales_Data3[Order ID],Raw_Sales_Data3[[#This Row],[Order ID]])&gt;1,"Duplicate Order ID","Unique Order ID")</f>
        <v>Unique Order ID</v>
      </c>
    </row>
    <row r="901" spans="1:13" x14ac:dyDescent="0.3">
      <c r="A901" t="s">
        <v>938</v>
      </c>
      <c r="B901" s="1">
        <v>46097</v>
      </c>
      <c r="C901" t="s">
        <v>86</v>
      </c>
      <c r="D901" t="s">
        <v>70</v>
      </c>
      <c r="E901" t="s">
        <v>39</v>
      </c>
      <c r="F901" t="s">
        <v>14</v>
      </c>
      <c r="G901" t="s">
        <v>20</v>
      </c>
      <c r="H901" s="5">
        <v>4</v>
      </c>
      <c r="I901" s="3">
        <v>10324</v>
      </c>
      <c r="J901" s="10">
        <v>0</v>
      </c>
      <c r="K901" s="2">
        <v>41296</v>
      </c>
      <c r="L901" s="2">
        <f>Raw_Sales_Data3[[#This Row],[Quantity]]*Raw_Sales_Data3[[#This Row],[Unit Price]]*(Raw_Sales_Data3[[#This Row],[Discount %]]/100)</f>
        <v>0</v>
      </c>
      <c r="M901" t="str">
        <f>IF(COUNTIF(Raw_Sales_Data3[Order ID],Raw_Sales_Data3[[#This Row],[Order ID]])&gt;1,"Duplicate Order ID","Unique Order ID")</f>
        <v>Unique Order ID</v>
      </c>
    </row>
    <row r="902" spans="1:13" x14ac:dyDescent="0.3">
      <c r="A902" t="s">
        <v>939</v>
      </c>
      <c r="B902" s="1">
        <v>46088</v>
      </c>
      <c r="C902" t="s">
        <v>54</v>
      </c>
      <c r="D902" t="s">
        <v>43</v>
      </c>
      <c r="E902" t="s">
        <v>13</v>
      </c>
      <c r="F902" t="s">
        <v>19</v>
      </c>
      <c r="G902" t="s">
        <v>117</v>
      </c>
      <c r="H902" s="5">
        <v>2</v>
      </c>
      <c r="I902" s="3">
        <v>10245</v>
      </c>
      <c r="J902" s="10">
        <v>0</v>
      </c>
      <c r="K902" s="2">
        <v>20490</v>
      </c>
      <c r="L902" s="2">
        <f>Raw_Sales_Data3[[#This Row],[Quantity]]*Raw_Sales_Data3[[#This Row],[Unit Price]]*(Raw_Sales_Data3[[#This Row],[Discount %]]/100)</f>
        <v>0</v>
      </c>
      <c r="M902" t="str">
        <f>IF(COUNTIF(Raw_Sales_Data3[Order ID],Raw_Sales_Data3[[#This Row],[Order ID]])&gt;1,"Duplicate Order ID","Unique Order ID")</f>
        <v>Unique Order ID</v>
      </c>
    </row>
    <row r="903" spans="1:13" x14ac:dyDescent="0.3">
      <c r="A903" t="s">
        <v>940</v>
      </c>
      <c r="B903" s="1">
        <v>46093</v>
      </c>
      <c r="C903" t="s">
        <v>54</v>
      </c>
      <c r="D903" t="s">
        <v>58</v>
      </c>
      <c r="E903" t="s">
        <v>39</v>
      </c>
      <c r="F903" t="s">
        <v>19</v>
      </c>
      <c r="G903" t="s">
        <v>79</v>
      </c>
      <c r="H903" s="5">
        <v>11</v>
      </c>
      <c r="I903" s="3">
        <v>47155</v>
      </c>
      <c r="J903" s="10">
        <v>0</v>
      </c>
      <c r="K903" s="2">
        <v>518705</v>
      </c>
      <c r="L903" s="2">
        <f>Raw_Sales_Data3[[#This Row],[Quantity]]*Raw_Sales_Data3[[#This Row],[Unit Price]]*(Raw_Sales_Data3[[#This Row],[Discount %]]/100)</f>
        <v>0</v>
      </c>
      <c r="M903" t="str">
        <f>IF(COUNTIF(Raw_Sales_Data3[Order ID],Raw_Sales_Data3[[#This Row],[Order ID]])&gt;1,"Duplicate Order ID","Unique Order ID")</f>
        <v>Unique Order ID</v>
      </c>
    </row>
    <row r="904" spans="1:13" x14ac:dyDescent="0.3">
      <c r="A904" t="s">
        <v>941</v>
      </c>
      <c r="B904" s="1">
        <v>46046</v>
      </c>
      <c r="C904" t="s">
        <v>64</v>
      </c>
      <c r="D904" t="s">
        <v>43</v>
      </c>
      <c r="E904" t="s">
        <v>39</v>
      </c>
      <c r="F904" t="s">
        <v>19</v>
      </c>
      <c r="G904" t="s">
        <v>31</v>
      </c>
      <c r="H904" s="5">
        <v>2</v>
      </c>
      <c r="I904" s="3">
        <v>16765</v>
      </c>
      <c r="J904" s="10">
        <v>15</v>
      </c>
      <c r="K904" s="2">
        <v>28500.5</v>
      </c>
      <c r="L904" s="2">
        <f>Raw_Sales_Data3[[#This Row],[Quantity]]*Raw_Sales_Data3[[#This Row],[Unit Price]]*(Raw_Sales_Data3[[#This Row],[Discount %]]/100)</f>
        <v>5029.5</v>
      </c>
      <c r="M904" t="str">
        <f>IF(COUNTIF(Raw_Sales_Data3[Order ID],Raw_Sales_Data3[[#This Row],[Order ID]])&gt;1,"Duplicate Order ID","Unique Order ID")</f>
        <v>Unique Order ID</v>
      </c>
    </row>
    <row r="905" spans="1:13" x14ac:dyDescent="0.3">
      <c r="A905" t="s">
        <v>942</v>
      </c>
      <c r="B905" s="1">
        <v>46095</v>
      </c>
      <c r="C905" t="s">
        <v>62</v>
      </c>
      <c r="D905" t="s">
        <v>70</v>
      </c>
      <c r="E905" t="s">
        <v>39</v>
      </c>
      <c r="F905" t="s">
        <v>19</v>
      </c>
      <c r="G905" t="s">
        <v>20</v>
      </c>
      <c r="H905" s="5">
        <v>14</v>
      </c>
      <c r="I905" s="3">
        <v>705</v>
      </c>
      <c r="J905" s="10">
        <v>0</v>
      </c>
      <c r="K905" s="2">
        <v>9870</v>
      </c>
      <c r="L905" s="2">
        <f>Raw_Sales_Data3[[#This Row],[Quantity]]*Raw_Sales_Data3[[#This Row],[Unit Price]]*(Raw_Sales_Data3[[#This Row],[Discount %]]/100)</f>
        <v>0</v>
      </c>
      <c r="M905" t="str">
        <f>IF(COUNTIF(Raw_Sales_Data3[Order ID],Raw_Sales_Data3[[#This Row],[Order ID]])&gt;1,"Duplicate Order ID","Unique Order ID")</f>
        <v>Unique Order ID</v>
      </c>
    </row>
    <row r="906" spans="1:13" x14ac:dyDescent="0.3">
      <c r="A906" t="s">
        <v>943</v>
      </c>
      <c r="B906" s="1">
        <v>46044</v>
      </c>
      <c r="C906" t="s">
        <v>123</v>
      </c>
      <c r="D906" t="s">
        <v>70</v>
      </c>
      <c r="E906" t="s">
        <v>28</v>
      </c>
      <c r="F906" t="s">
        <v>19</v>
      </c>
      <c r="G906" t="s">
        <v>31</v>
      </c>
      <c r="H906" s="5">
        <v>4</v>
      </c>
      <c r="I906" s="3">
        <v>42068</v>
      </c>
      <c r="J906" s="10">
        <v>20</v>
      </c>
      <c r="K906" s="2">
        <v>134617.60000000001</v>
      </c>
      <c r="L906" s="2">
        <f>Raw_Sales_Data3[[#This Row],[Quantity]]*Raw_Sales_Data3[[#This Row],[Unit Price]]*(Raw_Sales_Data3[[#This Row],[Discount %]]/100)</f>
        <v>33654.400000000001</v>
      </c>
      <c r="M906" t="str">
        <f>IF(COUNTIF(Raw_Sales_Data3[Order ID],Raw_Sales_Data3[[#This Row],[Order ID]])&gt;1,"Duplicate Order ID","Unique Order ID")</f>
        <v>Unique Order ID</v>
      </c>
    </row>
    <row r="907" spans="1:13" x14ac:dyDescent="0.3">
      <c r="A907" t="s">
        <v>944</v>
      </c>
      <c r="B907" s="1">
        <v>46072</v>
      </c>
      <c r="C907" t="s">
        <v>64</v>
      </c>
      <c r="D907" t="s">
        <v>58</v>
      </c>
      <c r="E907" t="s">
        <v>18</v>
      </c>
      <c r="F907" t="s">
        <v>24</v>
      </c>
      <c r="G907" t="s">
        <v>77</v>
      </c>
      <c r="H907" s="5">
        <v>7</v>
      </c>
      <c r="I907" s="3">
        <v>23324</v>
      </c>
      <c r="J907" s="10">
        <v>0</v>
      </c>
      <c r="K907" s="2">
        <v>163268</v>
      </c>
      <c r="L907" s="2">
        <f>Raw_Sales_Data3[[#This Row],[Quantity]]*Raw_Sales_Data3[[#This Row],[Unit Price]]*(Raw_Sales_Data3[[#This Row],[Discount %]]/100)</f>
        <v>0</v>
      </c>
      <c r="M907" t="str">
        <f>IF(COUNTIF(Raw_Sales_Data3[Order ID],Raw_Sales_Data3[[#This Row],[Order ID]])&gt;1,"Duplicate Order ID","Unique Order ID")</f>
        <v>Unique Order ID</v>
      </c>
    </row>
    <row r="908" spans="1:13" x14ac:dyDescent="0.3">
      <c r="A908" t="s">
        <v>945</v>
      </c>
      <c r="B908" s="1">
        <v>46035</v>
      </c>
      <c r="C908" t="s">
        <v>42</v>
      </c>
      <c r="D908" t="s">
        <v>70</v>
      </c>
      <c r="E908" t="s">
        <v>39</v>
      </c>
      <c r="F908" t="s">
        <v>14</v>
      </c>
      <c r="G908" t="s">
        <v>66</v>
      </c>
      <c r="H908" s="5">
        <v>3</v>
      </c>
      <c r="I908" s="3">
        <v>42384</v>
      </c>
      <c r="J908" s="10">
        <v>20</v>
      </c>
      <c r="K908" s="2">
        <v>101721.60000000001</v>
      </c>
      <c r="L908" s="2">
        <f>Raw_Sales_Data3[[#This Row],[Quantity]]*Raw_Sales_Data3[[#This Row],[Unit Price]]*(Raw_Sales_Data3[[#This Row],[Discount %]]/100)</f>
        <v>25430.400000000001</v>
      </c>
      <c r="M908" t="str">
        <f>IF(COUNTIF(Raw_Sales_Data3[Order ID],Raw_Sales_Data3[[#This Row],[Order ID]])&gt;1,"Duplicate Order ID","Unique Order ID")</f>
        <v>Unique Order ID</v>
      </c>
    </row>
    <row r="909" spans="1:13" x14ac:dyDescent="0.3">
      <c r="A909" t="s">
        <v>946</v>
      </c>
      <c r="B909" s="1">
        <v>46090</v>
      </c>
      <c r="C909" t="s">
        <v>50</v>
      </c>
      <c r="D909" t="s">
        <v>43</v>
      </c>
      <c r="E909" t="s">
        <v>28</v>
      </c>
      <c r="F909" t="s">
        <v>19</v>
      </c>
      <c r="G909" t="s">
        <v>117</v>
      </c>
      <c r="H909" s="5">
        <v>12</v>
      </c>
      <c r="I909" s="3">
        <v>50483</v>
      </c>
      <c r="J909" s="10">
        <v>10</v>
      </c>
      <c r="K909" s="2">
        <v>545216.4</v>
      </c>
      <c r="L909" s="2">
        <f>Raw_Sales_Data3[[#This Row],[Quantity]]*Raw_Sales_Data3[[#This Row],[Unit Price]]*(Raw_Sales_Data3[[#This Row],[Discount %]]/100)</f>
        <v>60579.600000000006</v>
      </c>
      <c r="M909" t="str">
        <f>IF(COUNTIF(Raw_Sales_Data3[Order ID],Raw_Sales_Data3[[#This Row],[Order ID]])&gt;1,"Duplicate Order ID","Unique Order ID")</f>
        <v>Unique Order ID</v>
      </c>
    </row>
    <row r="910" spans="1:13" x14ac:dyDescent="0.3">
      <c r="A910" t="s">
        <v>947</v>
      </c>
      <c r="B910" s="1">
        <v>46043</v>
      </c>
      <c r="C910" t="s">
        <v>50</v>
      </c>
      <c r="D910" t="s">
        <v>58</v>
      </c>
      <c r="E910" t="s">
        <v>18</v>
      </c>
      <c r="F910" t="s">
        <v>14</v>
      </c>
      <c r="G910" t="s">
        <v>125</v>
      </c>
      <c r="H910" s="5">
        <v>2</v>
      </c>
      <c r="I910" s="3">
        <f>K910/H910</f>
        <v>40200</v>
      </c>
      <c r="J910" s="10">
        <v>20</v>
      </c>
      <c r="K910" s="2">
        <v>80400</v>
      </c>
      <c r="L910" s="2">
        <f>Raw_Sales_Data3[[#This Row],[Quantity]]*Raw_Sales_Data3[[#This Row],[Unit Price]]*(Raw_Sales_Data3[[#This Row],[Discount %]]/100)</f>
        <v>16080</v>
      </c>
      <c r="M910" t="str">
        <f>IF(COUNTIF(Raw_Sales_Data3[Order ID],Raw_Sales_Data3[[#This Row],[Order ID]])&gt;1,"Duplicate Order ID","Unique Order ID")</f>
        <v>Unique Order ID</v>
      </c>
    </row>
    <row r="911" spans="1:13" x14ac:dyDescent="0.3">
      <c r="A911" t="s">
        <v>948</v>
      </c>
      <c r="B911" s="1">
        <v>46052</v>
      </c>
      <c r="C911" t="s">
        <v>86</v>
      </c>
      <c r="D911" t="s">
        <v>58</v>
      </c>
      <c r="E911" t="s">
        <v>39</v>
      </c>
      <c r="F911" t="s">
        <v>24</v>
      </c>
      <c r="G911" t="s">
        <v>25</v>
      </c>
      <c r="H911" s="5">
        <v>14</v>
      </c>
      <c r="I911" s="3">
        <v>59371</v>
      </c>
      <c r="J911" s="10">
        <v>0</v>
      </c>
      <c r="K911" s="2">
        <v>748074.6</v>
      </c>
      <c r="L911" s="2">
        <f>Raw_Sales_Data3[[#This Row],[Quantity]]*Raw_Sales_Data3[[#This Row],[Unit Price]]*(Raw_Sales_Data3[[#This Row],[Discount %]]/100)</f>
        <v>0</v>
      </c>
      <c r="M911" t="str">
        <f>IF(COUNTIF(Raw_Sales_Data3[Order ID],Raw_Sales_Data3[[#This Row],[Order ID]])&gt;1,"Duplicate Order ID","Unique Order ID")</f>
        <v>Unique Order ID</v>
      </c>
    </row>
    <row r="912" spans="1:13" x14ac:dyDescent="0.3">
      <c r="A912" t="s">
        <v>949</v>
      </c>
      <c r="B912" s="1">
        <v>46037</v>
      </c>
      <c r="C912" t="s">
        <v>48</v>
      </c>
      <c r="D912" t="s">
        <v>70</v>
      </c>
      <c r="E912" t="s">
        <v>34</v>
      </c>
      <c r="F912" t="s">
        <v>19</v>
      </c>
      <c r="G912" t="s">
        <v>1038</v>
      </c>
      <c r="H912" s="5">
        <v>3</v>
      </c>
      <c r="I912" s="3">
        <v>30825</v>
      </c>
      <c r="J912" s="10">
        <v>0</v>
      </c>
      <c r="K912" s="2">
        <v>92475</v>
      </c>
      <c r="L912" s="2">
        <f>Raw_Sales_Data3[[#This Row],[Quantity]]*Raw_Sales_Data3[[#This Row],[Unit Price]]*(Raw_Sales_Data3[[#This Row],[Discount %]]/100)</f>
        <v>0</v>
      </c>
      <c r="M912" t="str">
        <f>IF(COUNTIF(Raw_Sales_Data3[Order ID],Raw_Sales_Data3[[#This Row],[Order ID]])&gt;1,"Duplicate Order ID","Unique Order ID")</f>
        <v>Unique Order ID</v>
      </c>
    </row>
    <row r="913" spans="1:13" x14ac:dyDescent="0.3">
      <c r="A913" t="s">
        <v>950</v>
      </c>
      <c r="B913" s="1">
        <v>46024</v>
      </c>
      <c r="C913" t="s">
        <v>17</v>
      </c>
      <c r="D913" t="s">
        <v>23</v>
      </c>
      <c r="E913" t="s">
        <v>34</v>
      </c>
      <c r="F913" t="s">
        <v>14</v>
      </c>
      <c r="G913" t="s">
        <v>98</v>
      </c>
      <c r="H913" s="5">
        <v>12</v>
      </c>
      <c r="I913" s="3">
        <v>43387</v>
      </c>
      <c r="J913" s="10">
        <v>15</v>
      </c>
      <c r="K913" s="2">
        <v>442547.4</v>
      </c>
      <c r="L913" s="2">
        <f>Raw_Sales_Data3[[#This Row],[Quantity]]*Raw_Sales_Data3[[#This Row],[Unit Price]]*(Raw_Sales_Data3[[#This Row],[Discount %]]/100)</f>
        <v>78096.599999999991</v>
      </c>
      <c r="M913" t="str">
        <f>IF(COUNTIF(Raw_Sales_Data3[Order ID],Raw_Sales_Data3[[#This Row],[Order ID]])&gt;1,"Duplicate Order ID","Unique Order ID")</f>
        <v>Duplicate Order ID</v>
      </c>
    </row>
    <row r="914" spans="1:13" x14ac:dyDescent="0.3">
      <c r="A914" t="s">
        <v>950</v>
      </c>
      <c r="B914" s="1">
        <v>46064</v>
      </c>
      <c r="C914" t="s">
        <v>69</v>
      </c>
      <c r="D914" t="s">
        <v>23</v>
      </c>
      <c r="E914" t="s">
        <v>18</v>
      </c>
      <c r="F914" t="s">
        <v>19</v>
      </c>
      <c r="G914" t="s">
        <v>59</v>
      </c>
      <c r="H914" s="5">
        <v>8</v>
      </c>
      <c r="I914" s="3">
        <v>26068</v>
      </c>
      <c r="J914" s="10">
        <v>15</v>
      </c>
      <c r="K914" s="2">
        <v>177262.4</v>
      </c>
      <c r="L914" s="2">
        <f>Raw_Sales_Data3[[#This Row],[Quantity]]*Raw_Sales_Data3[[#This Row],[Unit Price]]*(Raw_Sales_Data3[[#This Row],[Discount %]]/100)</f>
        <v>31281.599999999999</v>
      </c>
      <c r="M914" t="str">
        <f>IF(COUNTIF(Raw_Sales_Data3[Order ID],Raw_Sales_Data3[[#This Row],[Order ID]])&gt;1,"Duplicate Order ID","Unique Order ID")</f>
        <v>Duplicate Order ID</v>
      </c>
    </row>
    <row r="915" spans="1:13" x14ac:dyDescent="0.3">
      <c r="A915" t="s">
        <v>951</v>
      </c>
      <c r="B915" s="1">
        <v>46072</v>
      </c>
      <c r="C915" t="s">
        <v>69</v>
      </c>
      <c r="D915" t="s">
        <v>23</v>
      </c>
      <c r="E915" t="s">
        <v>18</v>
      </c>
      <c r="F915" t="s">
        <v>24</v>
      </c>
      <c r="G915" t="s">
        <v>71</v>
      </c>
      <c r="H915" s="5">
        <f>K915/(I915*(1-J915/100))</f>
        <v>3</v>
      </c>
      <c r="I915" s="3">
        <v>48226</v>
      </c>
      <c r="J915" s="10">
        <v>0</v>
      </c>
      <c r="K915" s="2">
        <v>144678</v>
      </c>
      <c r="L915" s="2">
        <f>Raw_Sales_Data3[[#This Row],[Quantity]]*Raw_Sales_Data3[[#This Row],[Unit Price]]*(Raw_Sales_Data3[[#This Row],[Discount %]]/100)</f>
        <v>0</v>
      </c>
      <c r="M915" t="str">
        <f>IF(COUNTIF(Raw_Sales_Data3[Order ID],Raw_Sales_Data3[[#This Row],[Order ID]])&gt;1,"Duplicate Order ID","Unique Order ID")</f>
        <v>Unique Order ID</v>
      </c>
    </row>
    <row r="916" spans="1:13" x14ac:dyDescent="0.3">
      <c r="A916" t="s">
        <v>952</v>
      </c>
      <c r="B916" s="1">
        <v>46072</v>
      </c>
      <c r="C916" t="s">
        <v>36</v>
      </c>
      <c r="D916" t="s">
        <v>70</v>
      </c>
      <c r="E916" t="s">
        <v>39</v>
      </c>
      <c r="F916" t="s">
        <v>24</v>
      </c>
      <c r="G916" t="s">
        <v>25</v>
      </c>
      <c r="H916" s="5">
        <v>7</v>
      </c>
      <c r="I916" s="3">
        <v>49102</v>
      </c>
      <c r="J916" s="10">
        <v>0</v>
      </c>
      <c r="K916" s="2">
        <v>343714</v>
      </c>
      <c r="L916" s="2">
        <f>Raw_Sales_Data3[[#This Row],[Quantity]]*Raw_Sales_Data3[[#This Row],[Unit Price]]*(Raw_Sales_Data3[[#This Row],[Discount %]]/100)</f>
        <v>0</v>
      </c>
      <c r="M916" t="str">
        <f>IF(COUNTIF(Raw_Sales_Data3[Order ID],Raw_Sales_Data3[[#This Row],[Order ID]])&gt;1,"Duplicate Order ID","Unique Order ID")</f>
        <v>Unique Order ID</v>
      </c>
    </row>
    <row r="917" spans="1:13" x14ac:dyDescent="0.3">
      <c r="A917" t="s">
        <v>953</v>
      </c>
      <c r="B917" s="1">
        <v>46062</v>
      </c>
      <c r="C917" t="s">
        <v>42</v>
      </c>
      <c r="D917" t="s">
        <v>58</v>
      </c>
      <c r="E917" t="s">
        <v>18</v>
      </c>
      <c r="F917" t="s">
        <v>19</v>
      </c>
      <c r="G917" t="s">
        <v>59</v>
      </c>
      <c r="H917" s="5">
        <v>1</v>
      </c>
      <c r="I917" s="3">
        <v>49623</v>
      </c>
      <c r="J917" s="10">
        <v>0</v>
      </c>
      <c r="K917" s="2">
        <v>49623</v>
      </c>
      <c r="L917" s="2">
        <f>Raw_Sales_Data3[[#This Row],[Quantity]]*Raw_Sales_Data3[[#This Row],[Unit Price]]*(Raw_Sales_Data3[[#This Row],[Discount %]]/100)</f>
        <v>0</v>
      </c>
      <c r="M917" t="str">
        <f>IF(COUNTIF(Raw_Sales_Data3[Order ID],Raw_Sales_Data3[[#This Row],[Order ID]])&gt;1,"Duplicate Order ID","Unique Order ID")</f>
        <v>Unique Order ID</v>
      </c>
    </row>
    <row r="918" spans="1:13" x14ac:dyDescent="0.3">
      <c r="A918" t="s">
        <v>954</v>
      </c>
      <c r="B918" s="1">
        <v>46056</v>
      </c>
      <c r="C918" t="s">
        <v>33</v>
      </c>
      <c r="D918" t="s">
        <v>70</v>
      </c>
      <c r="E918" t="s">
        <v>18</v>
      </c>
      <c r="F918" t="s">
        <v>14</v>
      </c>
      <c r="G918" t="s">
        <v>156</v>
      </c>
      <c r="H918" s="5">
        <v>11</v>
      </c>
      <c r="I918" s="3">
        <v>31235</v>
      </c>
      <c r="J918" s="10">
        <v>10</v>
      </c>
      <c r="K918" s="2">
        <v>309226.5</v>
      </c>
      <c r="L918" s="2">
        <f>Raw_Sales_Data3[[#This Row],[Quantity]]*Raw_Sales_Data3[[#This Row],[Unit Price]]*(Raw_Sales_Data3[[#This Row],[Discount %]]/100)</f>
        <v>34358.5</v>
      </c>
      <c r="M918" t="str">
        <f>IF(COUNTIF(Raw_Sales_Data3[Order ID],Raw_Sales_Data3[[#This Row],[Order ID]])&gt;1,"Duplicate Order ID","Unique Order ID")</f>
        <v>Unique Order ID</v>
      </c>
    </row>
    <row r="919" spans="1:13" x14ac:dyDescent="0.3">
      <c r="A919" t="s">
        <v>955</v>
      </c>
      <c r="B919" s="1">
        <v>46094</v>
      </c>
      <c r="C919" t="s">
        <v>45</v>
      </c>
      <c r="D919" t="s">
        <v>58</v>
      </c>
      <c r="E919" t="s">
        <v>34</v>
      </c>
      <c r="F919" t="s">
        <v>24</v>
      </c>
      <c r="G919" t="s">
        <v>77</v>
      </c>
      <c r="H919" s="5">
        <v>6</v>
      </c>
      <c r="I919" s="3">
        <v>15533</v>
      </c>
      <c r="J919" s="10">
        <v>0</v>
      </c>
      <c r="K919" s="2">
        <v>93198</v>
      </c>
      <c r="L919" s="2">
        <f>Raw_Sales_Data3[[#This Row],[Quantity]]*Raw_Sales_Data3[[#This Row],[Unit Price]]*(Raw_Sales_Data3[[#This Row],[Discount %]]/100)</f>
        <v>0</v>
      </c>
      <c r="M919" t="str">
        <f>IF(COUNTIF(Raw_Sales_Data3[Order ID],Raw_Sales_Data3[[#This Row],[Order ID]])&gt;1,"Duplicate Order ID","Unique Order ID")</f>
        <v>Unique Order ID</v>
      </c>
    </row>
    <row r="920" spans="1:13" x14ac:dyDescent="0.3">
      <c r="A920" t="s">
        <v>956</v>
      </c>
      <c r="B920" s="1">
        <v>46053</v>
      </c>
      <c r="C920" t="s">
        <v>64</v>
      </c>
      <c r="D920" t="s">
        <v>23</v>
      </c>
      <c r="E920" t="s">
        <v>28</v>
      </c>
      <c r="F920" t="s">
        <v>24</v>
      </c>
      <c r="G920" t="s">
        <v>71</v>
      </c>
      <c r="H920" s="5">
        <v>12</v>
      </c>
      <c r="I920" s="3">
        <v>55829</v>
      </c>
      <c r="J920" s="10">
        <v>15</v>
      </c>
      <c r="K920" s="2">
        <v>569455.80000000005</v>
      </c>
      <c r="L920" s="2">
        <f>Raw_Sales_Data3[[#This Row],[Quantity]]*Raw_Sales_Data3[[#This Row],[Unit Price]]*(Raw_Sales_Data3[[#This Row],[Discount %]]/100)</f>
        <v>100492.2</v>
      </c>
      <c r="M920" t="str">
        <f>IF(COUNTIF(Raw_Sales_Data3[Order ID],Raw_Sales_Data3[[#This Row],[Order ID]])&gt;1,"Duplicate Order ID","Unique Order ID")</f>
        <v>Unique Order ID</v>
      </c>
    </row>
    <row r="921" spans="1:13" x14ac:dyDescent="0.3">
      <c r="A921" t="s">
        <v>957</v>
      </c>
      <c r="B921" s="1">
        <v>46053</v>
      </c>
      <c r="C921" t="s">
        <v>50</v>
      </c>
      <c r="D921" t="s">
        <v>58</v>
      </c>
      <c r="E921" t="s">
        <v>39</v>
      </c>
      <c r="F921" t="s">
        <v>19</v>
      </c>
      <c r="G921" t="s">
        <v>40</v>
      </c>
      <c r="H921" s="5">
        <v>2</v>
      </c>
      <c r="I921" s="3">
        <v>24323</v>
      </c>
      <c r="J921" s="10">
        <v>0</v>
      </c>
      <c r="K921" s="2">
        <v>48646</v>
      </c>
      <c r="L921" s="2">
        <f>Raw_Sales_Data3[[#This Row],[Quantity]]*Raw_Sales_Data3[[#This Row],[Unit Price]]*(Raw_Sales_Data3[[#This Row],[Discount %]]/100)</f>
        <v>0</v>
      </c>
      <c r="M921" t="str">
        <f>IF(COUNTIF(Raw_Sales_Data3[Order ID],Raw_Sales_Data3[[#This Row],[Order ID]])&gt;1,"Duplicate Order ID","Unique Order ID")</f>
        <v>Unique Order ID</v>
      </c>
    </row>
    <row r="922" spans="1:13" x14ac:dyDescent="0.3">
      <c r="A922" t="s">
        <v>958</v>
      </c>
      <c r="B922" s="1">
        <v>46108</v>
      </c>
      <c r="C922" t="s">
        <v>42</v>
      </c>
      <c r="D922" t="s">
        <v>43</v>
      </c>
      <c r="E922" t="s">
        <v>28</v>
      </c>
      <c r="F922" t="s">
        <v>24</v>
      </c>
      <c r="G922" t="s">
        <v>25</v>
      </c>
      <c r="H922" s="5">
        <v>2</v>
      </c>
      <c r="I922" s="3">
        <v>13411</v>
      </c>
      <c r="J922" s="10">
        <v>15</v>
      </c>
      <c r="K922" s="2">
        <v>22798.7</v>
      </c>
      <c r="L922" s="2">
        <f>Raw_Sales_Data3[[#This Row],[Quantity]]*Raw_Sales_Data3[[#This Row],[Unit Price]]*(Raw_Sales_Data3[[#This Row],[Discount %]]/100)</f>
        <v>4023.2999999999997</v>
      </c>
      <c r="M922" t="str">
        <f>IF(COUNTIF(Raw_Sales_Data3[Order ID],Raw_Sales_Data3[[#This Row],[Order ID]])&gt;1,"Duplicate Order ID","Unique Order ID")</f>
        <v>Unique Order ID</v>
      </c>
    </row>
    <row r="923" spans="1:13" x14ac:dyDescent="0.3">
      <c r="A923" t="s">
        <v>959</v>
      </c>
      <c r="B923" s="1">
        <v>46028</v>
      </c>
      <c r="C923" t="s">
        <v>12</v>
      </c>
      <c r="D923" t="s">
        <v>58</v>
      </c>
      <c r="E923" t="s">
        <v>28</v>
      </c>
      <c r="F923" t="s">
        <v>14</v>
      </c>
      <c r="G923" t="s">
        <v>15</v>
      </c>
      <c r="H923" s="5">
        <v>8</v>
      </c>
      <c r="I923" s="3">
        <v>10753</v>
      </c>
      <c r="J923" s="10">
        <v>15</v>
      </c>
      <c r="K923" s="2">
        <v>73120.399999999994</v>
      </c>
      <c r="L923" s="2">
        <f>Raw_Sales_Data3[[#This Row],[Quantity]]*Raw_Sales_Data3[[#This Row],[Unit Price]]*(Raw_Sales_Data3[[#This Row],[Discount %]]/100)</f>
        <v>12903.6</v>
      </c>
      <c r="M923" t="str">
        <f>IF(COUNTIF(Raw_Sales_Data3[Order ID],Raw_Sales_Data3[[#This Row],[Order ID]])&gt;1,"Duplicate Order ID","Unique Order ID")</f>
        <v>Unique Order ID</v>
      </c>
    </row>
    <row r="924" spans="1:13" x14ac:dyDescent="0.3">
      <c r="A924" t="s">
        <v>960</v>
      </c>
      <c r="B924" s="1">
        <v>46101</v>
      </c>
      <c r="C924" t="s">
        <v>86</v>
      </c>
      <c r="D924" t="s">
        <v>43</v>
      </c>
      <c r="E924" t="s">
        <v>28</v>
      </c>
      <c r="F924" t="s">
        <v>24</v>
      </c>
      <c r="G924" t="s">
        <v>71</v>
      </c>
      <c r="H924" s="5">
        <v>5</v>
      </c>
      <c r="I924" s="3">
        <v>23696</v>
      </c>
      <c r="J924" s="10">
        <v>10</v>
      </c>
      <c r="K924" s="2">
        <v>106632</v>
      </c>
      <c r="L924" s="2">
        <f>Raw_Sales_Data3[[#This Row],[Quantity]]*Raw_Sales_Data3[[#This Row],[Unit Price]]*(Raw_Sales_Data3[[#This Row],[Discount %]]/100)</f>
        <v>11848</v>
      </c>
      <c r="M924" t="str">
        <f>IF(COUNTIF(Raw_Sales_Data3[Order ID],Raw_Sales_Data3[[#This Row],[Order ID]])&gt;1,"Duplicate Order ID","Unique Order ID")</f>
        <v>Unique Order ID</v>
      </c>
    </row>
    <row r="925" spans="1:13" x14ac:dyDescent="0.3">
      <c r="A925" t="s">
        <v>961</v>
      </c>
      <c r="B925" s="1"/>
      <c r="C925" t="s">
        <v>27</v>
      </c>
      <c r="D925" t="s">
        <v>70</v>
      </c>
      <c r="E925" t="s">
        <v>28</v>
      </c>
      <c r="F925" t="s">
        <v>19</v>
      </c>
      <c r="G925" t="s">
        <v>20</v>
      </c>
      <c r="H925" s="5">
        <v>12</v>
      </c>
      <c r="I925" s="3">
        <v>36935</v>
      </c>
      <c r="J925" s="10">
        <v>10</v>
      </c>
      <c r="K925" s="2">
        <v>398898</v>
      </c>
      <c r="L925" s="2">
        <f>Raw_Sales_Data3[[#This Row],[Quantity]]*Raw_Sales_Data3[[#This Row],[Unit Price]]*(Raw_Sales_Data3[[#This Row],[Discount %]]/100)</f>
        <v>44322</v>
      </c>
      <c r="M925" t="str">
        <f>IF(COUNTIF(Raw_Sales_Data3[Order ID],Raw_Sales_Data3[[#This Row],[Order ID]])&gt;1,"Duplicate Order ID","Unique Order ID")</f>
        <v>Unique Order ID</v>
      </c>
    </row>
    <row r="926" spans="1:13" x14ac:dyDescent="0.3">
      <c r="A926" t="s">
        <v>962</v>
      </c>
      <c r="B926" s="1">
        <v>46038</v>
      </c>
      <c r="C926" t="s">
        <v>123</v>
      </c>
      <c r="D926" t="s">
        <v>23</v>
      </c>
      <c r="E926" t="s">
        <v>39</v>
      </c>
      <c r="F926" t="s">
        <v>24</v>
      </c>
      <c r="G926" t="s">
        <v>71</v>
      </c>
      <c r="H926" s="5">
        <v>1</v>
      </c>
      <c r="I926" s="3">
        <v>16206</v>
      </c>
      <c r="J926" s="10">
        <v>15</v>
      </c>
      <c r="K926" s="2">
        <v>13775.1</v>
      </c>
      <c r="L926" s="2">
        <f>Raw_Sales_Data3[[#This Row],[Quantity]]*Raw_Sales_Data3[[#This Row],[Unit Price]]*(Raw_Sales_Data3[[#This Row],[Discount %]]/100)</f>
        <v>2430.9</v>
      </c>
      <c r="M926" t="str">
        <f>IF(COUNTIF(Raw_Sales_Data3[Order ID],Raw_Sales_Data3[[#This Row],[Order ID]])&gt;1,"Duplicate Order ID","Unique Order ID")</f>
        <v>Unique Order ID</v>
      </c>
    </row>
    <row r="927" spans="1:13" x14ac:dyDescent="0.3">
      <c r="A927" t="s">
        <v>963</v>
      </c>
      <c r="B927" s="1">
        <v>46090</v>
      </c>
      <c r="C927" t="s">
        <v>50</v>
      </c>
      <c r="D927" t="s">
        <v>43</v>
      </c>
      <c r="E927" t="s">
        <v>13</v>
      </c>
      <c r="F927" t="s">
        <v>24</v>
      </c>
      <c r="G927" t="s">
        <v>77</v>
      </c>
      <c r="H927" s="5">
        <v>1</v>
      </c>
      <c r="I927" s="3">
        <v>21424</v>
      </c>
      <c r="J927" s="10">
        <v>0</v>
      </c>
      <c r="K927" s="2">
        <v>21424</v>
      </c>
      <c r="L927" s="2">
        <f>Raw_Sales_Data3[[#This Row],[Quantity]]*Raw_Sales_Data3[[#This Row],[Unit Price]]*(Raw_Sales_Data3[[#This Row],[Discount %]]/100)</f>
        <v>0</v>
      </c>
      <c r="M927" t="str">
        <f>IF(COUNTIF(Raw_Sales_Data3[Order ID],Raw_Sales_Data3[[#This Row],[Order ID]])&gt;1,"Duplicate Order ID","Unique Order ID")</f>
        <v>Unique Order ID</v>
      </c>
    </row>
    <row r="928" spans="1:13" x14ac:dyDescent="0.3">
      <c r="A928" t="s">
        <v>964</v>
      </c>
      <c r="B928" s="1">
        <v>46063</v>
      </c>
      <c r="C928" t="s">
        <v>22</v>
      </c>
      <c r="D928" t="s">
        <v>70</v>
      </c>
      <c r="E928" t="s">
        <v>39</v>
      </c>
      <c r="F928" t="s">
        <v>19</v>
      </c>
      <c r="G928" t="s">
        <v>1038</v>
      </c>
      <c r="H928" s="5">
        <v>4</v>
      </c>
      <c r="I928" s="3">
        <v>46589</v>
      </c>
      <c r="J928" s="10">
        <v>5</v>
      </c>
      <c r="K928" s="2">
        <v>177038.2</v>
      </c>
      <c r="L928" s="2">
        <f>Raw_Sales_Data3[[#This Row],[Quantity]]*Raw_Sales_Data3[[#This Row],[Unit Price]]*(Raw_Sales_Data3[[#This Row],[Discount %]]/100)</f>
        <v>9317.8000000000011</v>
      </c>
      <c r="M928" t="str">
        <f>IF(COUNTIF(Raw_Sales_Data3[Order ID],Raw_Sales_Data3[[#This Row],[Order ID]])&gt;1,"Duplicate Order ID","Unique Order ID")</f>
        <v>Unique Order ID</v>
      </c>
    </row>
    <row r="929" spans="1:13" x14ac:dyDescent="0.3">
      <c r="A929" t="s">
        <v>965</v>
      </c>
      <c r="B929" s="1">
        <v>46099</v>
      </c>
      <c r="C929" t="s">
        <v>50</v>
      </c>
      <c r="D929" t="s">
        <v>58</v>
      </c>
      <c r="E929" t="s">
        <v>18</v>
      </c>
      <c r="F929" t="s">
        <v>19</v>
      </c>
      <c r="G929" t="s">
        <v>20</v>
      </c>
      <c r="H929" s="5">
        <v>13</v>
      </c>
      <c r="I929" s="3">
        <v>13776</v>
      </c>
      <c r="J929" s="10">
        <v>0</v>
      </c>
      <c r="K929" s="2">
        <v>179088</v>
      </c>
      <c r="L929" s="2">
        <f>Raw_Sales_Data3[[#This Row],[Quantity]]*Raw_Sales_Data3[[#This Row],[Unit Price]]*(Raw_Sales_Data3[[#This Row],[Discount %]]/100)</f>
        <v>0</v>
      </c>
      <c r="M929" t="str">
        <f>IF(COUNTIF(Raw_Sales_Data3[Order ID],Raw_Sales_Data3[[#This Row],[Order ID]])&gt;1,"Duplicate Order ID","Unique Order ID")</f>
        <v>Unique Order ID</v>
      </c>
    </row>
    <row r="930" spans="1:13" x14ac:dyDescent="0.3">
      <c r="A930" t="s">
        <v>966</v>
      </c>
      <c r="B930" s="1">
        <v>46071</v>
      </c>
      <c r="C930" t="s">
        <v>48</v>
      </c>
      <c r="D930" t="s">
        <v>43</v>
      </c>
      <c r="E930" t="s">
        <v>28</v>
      </c>
      <c r="F930" t="s">
        <v>14</v>
      </c>
      <c r="G930" t="s">
        <v>156</v>
      </c>
      <c r="H930" s="5">
        <v>7</v>
      </c>
      <c r="I930" s="3">
        <v>19794</v>
      </c>
      <c r="J930" s="10">
        <v>0</v>
      </c>
      <c r="K930" s="2">
        <v>138558</v>
      </c>
      <c r="L930" s="2">
        <f>Raw_Sales_Data3[[#This Row],[Quantity]]*Raw_Sales_Data3[[#This Row],[Unit Price]]*(Raw_Sales_Data3[[#This Row],[Discount %]]/100)</f>
        <v>0</v>
      </c>
      <c r="M930" t="str">
        <f>IF(COUNTIF(Raw_Sales_Data3[Order ID],Raw_Sales_Data3[[#This Row],[Order ID]])&gt;1,"Duplicate Order ID","Unique Order ID")</f>
        <v>Unique Order ID</v>
      </c>
    </row>
    <row r="931" spans="1:13" x14ac:dyDescent="0.3">
      <c r="A931" t="s">
        <v>967</v>
      </c>
      <c r="B931" s="1">
        <v>46081</v>
      </c>
      <c r="C931" t="s">
        <v>27</v>
      </c>
      <c r="D931" t="s">
        <v>23</v>
      </c>
      <c r="E931" t="s">
        <v>34</v>
      </c>
      <c r="F931" t="s">
        <v>24</v>
      </c>
      <c r="G931" t="s">
        <v>77</v>
      </c>
      <c r="H931" s="5">
        <v>2</v>
      </c>
      <c r="I931" s="3">
        <v>17671</v>
      </c>
      <c r="J931" s="10">
        <v>0</v>
      </c>
      <c r="K931" s="2">
        <v>35342</v>
      </c>
      <c r="L931" s="2">
        <f>Raw_Sales_Data3[[#This Row],[Quantity]]*Raw_Sales_Data3[[#This Row],[Unit Price]]*(Raw_Sales_Data3[[#This Row],[Discount %]]/100)</f>
        <v>0</v>
      </c>
      <c r="M931" t="str">
        <f>IF(COUNTIF(Raw_Sales_Data3[Order ID],Raw_Sales_Data3[[#This Row],[Order ID]])&gt;1,"Duplicate Order ID","Unique Order ID")</f>
        <v>Unique Order ID</v>
      </c>
    </row>
    <row r="932" spans="1:13" x14ac:dyDescent="0.3">
      <c r="A932" t="s">
        <v>968</v>
      </c>
      <c r="B932" s="1">
        <v>46112</v>
      </c>
      <c r="C932" t="s">
        <v>33</v>
      </c>
      <c r="D932" t="s">
        <v>43</v>
      </c>
      <c r="E932" t="s">
        <v>39</v>
      </c>
      <c r="F932" t="s">
        <v>19</v>
      </c>
      <c r="G932" t="s">
        <v>20</v>
      </c>
      <c r="H932" s="5">
        <v>15</v>
      </c>
      <c r="I932" s="3">
        <v>41294</v>
      </c>
      <c r="J932" s="10">
        <v>20</v>
      </c>
      <c r="K932" s="2">
        <v>495528</v>
      </c>
      <c r="L932" s="2">
        <f>Raw_Sales_Data3[[#This Row],[Quantity]]*Raw_Sales_Data3[[#This Row],[Unit Price]]*(Raw_Sales_Data3[[#This Row],[Discount %]]/100)</f>
        <v>123882</v>
      </c>
      <c r="M932" t="str">
        <f>IF(COUNTIF(Raw_Sales_Data3[Order ID],Raw_Sales_Data3[[#This Row],[Order ID]])&gt;1,"Duplicate Order ID","Unique Order ID")</f>
        <v>Unique Order ID</v>
      </c>
    </row>
    <row r="933" spans="1:13" x14ac:dyDescent="0.3">
      <c r="A933" t="s">
        <v>969</v>
      </c>
      <c r="B933" s="1">
        <v>46065</v>
      </c>
      <c r="C933" t="s">
        <v>12</v>
      </c>
      <c r="D933" t="s">
        <v>70</v>
      </c>
      <c r="E933" t="s">
        <v>13</v>
      </c>
      <c r="F933" t="s">
        <v>14</v>
      </c>
      <c r="G933" t="s">
        <v>51</v>
      </c>
      <c r="H933" s="5">
        <v>3</v>
      </c>
      <c r="I933" s="3">
        <v>39627</v>
      </c>
      <c r="J933" s="10">
        <v>20</v>
      </c>
      <c r="K933" s="2">
        <v>95104.8</v>
      </c>
      <c r="L933" s="2">
        <f>Raw_Sales_Data3[[#This Row],[Quantity]]*Raw_Sales_Data3[[#This Row],[Unit Price]]*(Raw_Sales_Data3[[#This Row],[Discount %]]/100)</f>
        <v>23776.2</v>
      </c>
      <c r="M933" t="str">
        <f>IF(COUNTIF(Raw_Sales_Data3[Order ID],Raw_Sales_Data3[[#This Row],[Order ID]])&gt;1,"Duplicate Order ID","Unique Order ID")</f>
        <v>Unique Order ID</v>
      </c>
    </row>
    <row r="934" spans="1:13" x14ac:dyDescent="0.3">
      <c r="A934" t="s">
        <v>970</v>
      </c>
      <c r="B934" s="1">
        <v>46035</v>
      </c>
      <c r="C934" t="s">
        <v>45</v>
      </c>
      <c r="D934" t="s">
        <v>23</v>
      </c>
      <c r="E934" t="s">
        <v>18</v>
      </c>
      <c r="F934" t="s">
        <v>14</v>
      </c>
      <c r="G934" t="s">
        <v>125</v>
      </c>
      <c r="H934" s="5">
        <v>12</v>
      </c>
      <c r="I934" s="3">
        <v>23693</v>
      </c>
      <c r="J934" s="10">
        <v>15</v>
      </c>
      <c r="K934" s="2">
        <v>241668.6</v>
      </c>
      <c r="L934" s="2">
        <f>Raw_Sales_Data3[[#This Row],[Quantity]]*Raw_Sales_Data3[[#This Row],[Unit Price]]*(Raw_Sales_Data3[[#This Row],[Discount %]]/100)</f>
        <v>42647.4</v>
      </c>
      <c r="M934" t="str">
        <f>IF(COUNTIF(Raw_Sales_Data3[Order ID],Raw_Sales_Data3[[#This Row],[Order ID]])&gt;1,"Duplicate Order ID","Unique Order ID")</f>
        <v>Unique Order ID</v>
      </c>
    </row>
    <row r="935" spans="1:13" x14ac:dyDescent="0.3">
      <c r="A935" t="s">
        <v>971</v>
      </c>
      <c r="B935" s="1">
        <v>46038</v>
      </c>
      <c r="C935" t="s">
        <v>69</v>
      </c>
      <c r="D935" t="s">
        <v>58</v>
      </c>
      <c r="E935" t="s">
        <v>34</v>
      </c>
      <c r="F935" t="s">
        <v>14</v>
      </c>
      <c r="G935" t="s">
        <v>125</v>
      </c>
      <c r="H935" s="5">
        <v>10</v>
      </c>
      <c r="I935" s="3">
        <v>23136</v>
      </c>
      <c r="J935" s="10">
        <v>0</v>
      </c>
      <c r="K935" s="2">
        <v>231360</v>
      </c>
      <c r="L935" s="2">
        <f>Raw_Sales_Data3[[#This Row],[Quantity]]*Raw_Sales_Data3[[#This Row],[Unit Price]]*(Raw_Sales_Data3[[#This Row],[Discount %]]/100)</f>
        <v>0</v>
      </c>
      <c r="M935" t="str">
        <f>IF(COUNTIF(Raw_Sales_Data3[Order ID],Raw_Sales_Data3[[#This Row],[Order ID]])&gt;1,"Duplicate Order ID","Unique Order ID")</f>
        <v>Unique Order ID</v>
      </c>
    </row>
    <row r="936" spans="1:13" x14ac:dyDescent="0.3">
      <c r="A936" t="s">
        <v>972</v>
      </c>
      <c r="B936" s="1">
        <v>46082</v>
      </c>
      <c r="C936" t="s">
        <v>86</v>
      </c>
      <c r="D936" t="s">
        <v>23</v>
      </c>
      <c r="E936" t="s">
        <v>39</v>
      </c>
      <c r="F936" t="s">
        <v>19</v>
      </c>
      <c r="G936" t="s">
        <v>147</v>
      </c>
      <c r="H936" s="5">
        <v>14</v>
      </c>
      <c r="I936" s="3">
        <v>32924</v>
      </c>
      <c r="J936" s="10">
        <v>15</v>
      </c>
      <c r="K936" s="2">
        <v>391795.6</v>
      </c>
      <c r="L936" s="2">
        <f>Raw_Sales_Data3[[#This Row],[Quantity]]*Raw_Sales_Data3[[#This Row],[Unit Price]]*(Raw_Sales_Data3[[#This Row],[Discount %]]/100)</f>
        <v>69140.399999999994</v>
      </c>
      <c r="M936" t="str">
        <f>IF(COUNTIF(Raw_Sales_Data3[Order ID],Raw_Sales_Data3[[#This Row],[Order ID]])&gt;1,"Duplicate Order ID","Unique Order ID")</f>
        <v>Unique Order ID</v>
      </c>
    </row>
    <row r="937" spans="1:13" x14ac:dyDescent="0.3">
      <c r="A937" t="s">
        <v>973</v>
      </c>
      <c r="B937" s="1">
        <v>46068</v>
      </c>
      <c r="C937" t="s">
        <v>89</v>
      </c>
      <c r="D937" t="s">
        <v>23</v>
      </c>
      <c r="E937" t="s">
        <v>13</v>
      </c>
      <c r="F937" t="s">
        <v>24</v>
      </c>
      <c r="G937" t="s">
        <v>77</v>
      </c>
      <c r="H937" s="5">
        <v>6</v>
      </c>
      <c r="I937" s="3">
        <v>34438</v>
      </c>
      <c r="J937" s="10">
        <v>0</v>
      </c>
      <c r="K937" s="2">
        <v>206628</v>
      </c>
      <c r="L937" s="2">
        <f>Raw_Sales_Data3[[#This Row],[Quantity]]*Raw_Sales_Data3[[#This Row],[Unit Price]]*(Raw_Sales_Data3[[#This Row],[Discount %]]/100)</f>
        <v>0</v>
      </c>
      <c r="M937" t="str">
        <f>IF(COUNTIF(Raw_Sales_Data3[Order ID],Raw_Sales_Data3[[#This Row],[Order ID]])&gt;1,"Duplicate Order ID","Unique Order ID")</f>
        <v>Unique Order ID</v>
      </c>
    </row>
    <row r="938" spans="1:13" x14ac:dyDescent="0.3">
      <c r="A938" t="s">
        <v>974</v>
      </c>
      <c r="B938" s="1">
        <v>46030</v>
      </c>
      <c r="C938" t="s">
        <v>36</v>
      </c>
      <c r="D938" t="s">
        <v>23</v>
      </c>
      <c r="E938" t="s">
        <v>34</v>
      </c>
      <c r="F938" t="s">
        <v>24</v>
      </c>
      <c r="G938" t="s">
        <v>71</v>
      </c>
      <c r="H938" s="5">
        <v>14</v>
      </c>
      <c r="I938" s="3">
        <v>1266</v>
      </c>
      <c r="J938" s="10">
        <v>10</v>
      </c>
      <c r="K938" s="2">
        <v>15951.6</v>
      </c>
      <c r="L938" s="2">
        <f>Raw_Sales_Data3[[#This Row],[Quantity]]*Raw_Sales_Data3[[#This Row],[Unit Price]]*(Raw_Sales_Data3[[#This Row],[Discount %]]/100)</f>
        <v>1772.4</v>
      </c>
      <c r="M938" t="str">
        <f>IF(COUNTIF(Raw_Sales_Data3[Order ID],Raw_Sales_Data3[[#This Row],[Order ID]])&gt;1,"Duplicate Order ID","Unique Order ID")</f>
        <v>Unique Order ID</v>
      </c>
    </row>
    <row r="939" spans="1:13" x14ac:dyDescent="0.3">
      <c r="A939" t="s">
        <v>975</v>
      </c>
      <c r="B939" s="1">
        <v>46089</v>
      </c>
      <c r="C939" t="s">
        <v>45</v>
      </c>
      <c r="D939" t="s">
        <v>23</v>
      </c>
      <c r="E939" t="s">
        <v>13</v>
      </c>
      <c r="F939" t="s">
        <v>14</v>
      </c>
      <c r="G939" t="s">
        <v>73</v>
      </c>
      <c r="H939" s="5">
        <v>4</v>
      </c>
      <c r="I939" s="3">
        <v>49510</v>
      </c>
      <c r="J939" s="10">
        <v>20</v>
      </c>
      <c r="K939" s="2">
        <v>158432</v>
      </c>
      <c r="L939" s="2">
        <f>Raw_Sales_Data3[[#This Row],[Quantity]]*Raw_Sales_Data3[[#This Row],[Unit Price]]*(Raw_Sales_Data3[[#This Row],[Discount %]]/100)</f>
        <v>39608</v>
      </c>
      <c r="M939" t="str">
        <f>IF(COUNTIF(Raw_Sales_Data3[Order ID],Raw_Sales_Data3[[#This Row],[Order ID]])&gt;1,"Duplicate Order ID","Unique Order ID")</f>
        <v>Unique Order ID</v>
      </c>
    </row>
    <row r="940" spans="1:13" x14ac:dyDescent="0.3">
      <c r="A940" t="s">
        <v>976</v>
      </c>
      <c r="B940" s="1">
        <v>46079</v>
      </c>
      <c r="C940" t="s">
        <v>89</v>
      </c>
      <c r="D940" t="s">
        <v>23</v>
      </c>
      <c r="E940" t="s">
        <v>18</v>
      </c>
      <c r="F940" t="s">
        <v>14</v>
      </c>
      <c r="G940" t="s">
        <v>15</v>
      </c>
      <c r="H940" s="5">
        <f>K940/(I940*(1-J940/100))</f>
        <v>12</v>
      </c>
      <c r="I940" s="3">
        <v>55943</v>
      </c>
      <c r="J940" s="10">
        <v>10</v>
      </c>
      <c r="K940" s="2">
        <v>604184.4</v>
      </c>
      <c r="L940" s="2">
        <f>Raw_Sales_Data3[[#This Row],[Quantity]]*Raw_Sales_Data3[[#This Row],[Unit Price]]*(Raw_Sales_Data3[[#This Row],[Discount %]]/100)</f>
        <v>67131.600000000006</v>
      </c>
      <c r="M940" t="str">
        <f>IF(COUNTIF(Raw_Sales_Data3[Order ID],Raw_Sales_Data3[[#This Row],[Order ID]])&gt;1,"Duplicate Order ID","Unique Order ID")</f>
        <v>Unique Order ID</v>
      </c>
    </row>
    <row r="941" spans="1:13" x14ac:dyDescent="0.3">
      <c r="A941" t="s">
        <v>977</v>
      </c>
      <c r="B941" s="1">
        <v>46091</v>
      </c>
      <c r="C941" t="s">
        <v>86</v>
      </c>
      <c r="D941" t="s">
        <v>70</v>
      </c>
      <c r="E941" t="s">
        <v>28</v>
      </c>
      <c r="F941" t="s">
        <v>19</v>
      </c>
      <c r="G941" t="s">
        <v>59</v>
      </c>
      <c r="H941" s="5">
        <v>3</v>
      </c>
      <c r="I941" s="3">
        <v>22627</v>
      </c>
      <c r="J941" s="10">
        <v>0</v>
      </c>
      <c r="K941" s="2">
        <v>54304.800000000003</v>
      </c>
      <c r="L941" s="2">
        <f>Raw_Sales_Data3[[#This Row],[Quantity]]*Raw_Sales_Data3[[#This Row],[Unit Price]]*(Raw_Sales_Data3[[#This Row],[Discount %]]/100)</f>
        <v>0</v>
      </c>
      <c r="M941" t="str">
        <f>IF(COUNTIF(Raw_Sales_Data3[Order ID],Raw_Sales_Data3[[#This Row],[Order ID]])&gt;1,"Duplicate Order ID","Unique Order ID")</f>
        <v>Unique Order ID</v>
      </c>
    </row>
    <row r="942" spans="1:13" x14ac:dyDescent="0.3">
      <c r="A942" t="s">
        <v>978</v>
      </c>
      <c r="B942" s="1">
        <v>46080</v>
      </c>
      <c r="C942" t="s">
        <v>22</v>
      </c>
      <c r="D942" t="s">
        <v>70</v>
      </c>
      <c r="E942" t="s">
        <v>28</v>
      </c>
      <c r="F942" t="s">
        <v>24</v>
      </c>
      <c r="G942" t="s">
        <v>25</v>
      </c>
      <c r="H942" s="5">
        <v>9</v>
      </c>
      <c r="I942" s="3">
        <v>36311</v>
      </c>
      <c r="J942" s="10">
        <v>0</v>
      </c>
      <c r="K942" s="2">
        <v>326799</v>
      </c>
      <c r="L942" s="2">
        <f>Raw_Sales_Data3[[#This Row],[Quantity]]*Raw_Sales_Data3[[#This Row],[Unit Price]]*(Raw_Sales_Data3[[#This Row],[Discount %]]/100)</f>
        <v>0</v>
      </c>
      <c r="M942" t="str">
        <f>IF(COUNTIF(Raw_Sales_Data3[Order ID],Raw_Sales_Data3[[#This Row],[Order ID]])&gt;1,"Duplicate Order ID","Unique Order ID")</f>
        <v>Unique Order ID</v>
      </c>
    </row>
    <row r="943" spans="1:13" x14ac:dyDescent="0.3">
      <c r="A943" t="s">
        <v>979</v>
      </c>
      <c r="B943" s="1">
        <v>46077</v>
      </c>
      <c r="C943" t="s">
        <v>45</v>
      </c>
      <c r="D943" t="s">
        <v>58</v>
      </c>
      <c r="E943" t="s">
        <v>13</v>
      </c>
      <c r="F943" t="s">
        <v>14</v>
      </c>
      <c r="G943" t="s">
        <v>98</v>
      </c>
      <c r="H943" s="5">
        <v>11</v>
      </c>
      <c r="I943" s="3">
        <v>10806</v>
      </c>
      <c r="J943" s="10">
        <v>20</v>
      </c>
      <c r="K943" s="2">
        <v>95092.800000000003</v>
      </c>
      <c r="L943" s="2">
        <f>Raw_Sales_Data3[[#This Row],[Quantity]]*Raw_Sales_Data3[[#This Row],[Unit Price]]*(Raw_Sales_Data3[[#This Row],[Discount %]]/100)</f>
        <v>23773.200000000001</v>
      </c>
      <c r="M943" t="str">
        <f>IF(COUNTIF(Raw_Sales_Data3[Order ID],Raw_Sales_Data3[[#This Row],[Order ID]])&gt;1,"Duplicate Order ID","Unique Order ID")</f>
        <v>Unique Order ID</v>
      </c>
    </row>
    <row r="944" spans="1:13" x14ac:dyDescent="0.3">
      <c r="A944" t="s">
        <v>980</v>
      </c>
      <c r="B944" s="1">
        <v>46106</v>
      </c>
      <c r="C944" t="s">
        <v>69</v>
      </c>
      <c r="D944" t="s">
        <v>70</v>
      </c>
      <c r="E944" t="s">
        <v>39</v>
      </c>
      <c r="F944" t="s">
        <v>14</v>
      </c>
      <c r="G944" t="s">
        <v>15</v>
      </c>
      <c r="H944" s="5">
        <v>10</v>
      </c>
      <c r="I944" s="3">
        <v>44863</v>
      </c>
      <c r="J944" s="10">
        <v>0</v>
      </c>
      <c r="K944" s="2">
        <v>448630</v>
      </c>
      <c r="L944" s="2">
        <f>Raw_Sales_Data3[[#This Row],[Quantity]]*Raw_Sales_Data3[[#This Row],[Unit Price]]*(Raw_Sales_Data3[[#This Row],[Discount %]]/100)</f>
        <v>0</v>
      </c>
      <c r="M944" t="str">
        <f>IF(COUNTIF(Raw_Sales_Data3[Order ID],Raw_Sales_Data3[[#This Row],[Order ID]])&gt;1,"Duplicate Order ID","Unique Order ID")</f>
        <v>Unique Order ID</v>
      </c>
    </row>
    <row r="945" spans="1:13" x14ac:dyDescent="0.3">
      <c r="A945" t="s">
        <v>981</v>
      </c>
      <c r="B945" s="1">
        <v>46033</v>
      </c>
      <c r="C945" t="s">
        <v>91</v>
      </c>
      <c r="D945" t="s">
        <v>58</v>
      </c>
      <c r="E945" t="s">
        <v>28</v>
      </c>
      <c r="F945" t="s">
        <v>14</v>
      </c>
      <c r="G945" t="s">
        <v>156</v>
      </c>
      <c r="H945" s="5">
        <v>7</v>
      </c>
      <c r="I945" s="3">
        <v>37760</v>
      </c>
      <c r="J945" s="10">
        <v>5</v>
      </c>
      <c r="K945" s="2">
        <v>251104</v>
      </c>
      <c r="L945" s="2">
        <f>Raw_Sales_Data3[[#This Row],[Quantity]]*Raw_Sales_Data3[[#This Row],[Unit Price]]*(Raw_Sales_Data3[[#This Row],[Discount %]]/100)</f>
        <v>13216</v>
      </c>
      <c r="M945" t="str">
        <f>IF(COUNTIF(Raw_Sales_Data3[Order ID],Raw_Sales_Data3[[#This Row],[Order ID]])&gt;1,"Duplicate Order ID","Unique Order ID")</f>
        <v>Unique Order ID</v>
      </c>
    </row>
    <row r="946" spans="1:13" x14ac:dyDescent="0.3">
      <c r="A946" t="s">
        <v>982</v>
      </c>
      <c r="B946" s="1">
        <v>46099</v>
      </c>
      <c r="C946" t="s">
        <v>57</v>
      </c>
      <c r="D946" t="s">
        <v>23</v>
      </c>
      <c r="E946" t="s">
        <v>39</v>
      </c>
      <c r="F946" t="s">
        <v>19</v>
      </c>
      <c r="G946" t="s">
        <v>40</v>
      </c>
      <c r="H946" s="5">
        <v>3</v>
      </c>
      <c r="I946" s="3">
        <v>17999</v>
      </c>
      <c r="J946" s="10">
        <v>0</v>
      </c>
      <c r="K946" s="2">
        <v>53997</v>
      </c>
      <c r="L946" s="2">
        <f>Raw_Sales_Data3[[#This Row],[Quantity]]*Raw_Sales_Data3[[#This Row],[Unit Price]]*(Raw_Sales_Data3[[#This Row],[Discount %]]/100)</f>
        <v>0</v>
      </c>
      <c r="M946" t="str">
        <f>IF(COUNTIF(Raw_Sales_Data3[Order ID],Raw_Sales_Data3[[#This Row],[Order ID]])&gt;1,"Duplicate Order ID","Unique Order ID")</f>
        <v>Unique Order ID</v>
      </c>
    </row>
    <row r="947" spans="1:13" x14ac:dyDescent="0.3">
      <c r="A947" t="s">
        <v>983</v>
      </c>
      <c r="B947" s="1">
        <v>46089</v>
      </c>
      <c r="C947" t="s">
        <v>57</v>
      </c>
      <c r="D947" t="s">
        <v>58</v>
      </c>
      <c r="E947" t="s">
        <v>13</v>
      </c>
      <c r="F947" t="s">
        <v>19</v>
      </c>
      <c r="G947" t="s">
        <v>59</v>
      </c>
      <c r="H947" s="5">
        <v>13</v>
      </c>
      <c r="I947" s="3">
        <v>16130</v>
      </c>
      <c r="J947" s="10">
        <v>20</v>
      </c>
      <c r="K947" s="2">
        <v>167752</v>
      </c>
      <c r="L947" s="2">
        <f>Raw_Sales_Data3[[#This Row],[Quantity]]*Raw_Sales_Data3[[#This Row],[Unit Price]]*(Raw_Sales_Data3[[#This Row],[Discount %]]/100)</f>
        <v>41938</v>
      </c>
      <c r="M947" t="str">
        <f>IF(COUNTIF(Raw_Sales_Data3[Order ID],Raw_Sales_Data3[[#This Row],[Order ID]])&gt;1,"Duplicate Order ID","Unique Order ID")</f>
        <v>Unique Order ID</v>
      </c>
    </row>
    <row r="948" spans="1:13" x14ac:dyDescent="0.3">
      <c r="A948" t="s">
        <v>984</v>
      </c>
      <c r="B948" s="1">
        <v>46058</v>
      </c>
      <c r="C948" t="s">
        <v>27</v>
      </c>
      <c r="D948" t="s">
        <v>23</v>
      </c>
      <c r="E948" t="s">
        <v>28</v>
      </c>
      <c r="F948" t="s">
        <v>24</v>
      </c>
      <c r="G948" t="s">
        <v>25</v>
      </c>
      <c r="H948" s="5">
        <v>11</v>
      </c>
      <c r="I948" s="3">
        <v>33275</v>
      </c>
      <c r="J948" s="10">
        <v>0</v>
      </c>
      <c r="K948" s="2">
        <v>366025</v>
      </c>
      <c r="L948" s="2">
        <f>Raw_Sales_Data3[[#This Row],[Quantity]]*Raw_Sales_Data3[[#This Row],[Unit Price]]*(Raw_Sales_Data3[[#This Row],[Discount %]]/100)</f>
        <v>0</v>
      </c>
      <c r="M948" t="str">
        <f>IF(COUNTIF(Raw_Sales_Data3[Order ID],Raw_Sales_Data3[[#This Row],[Order ID]])&gt;1,"Duplicate Order ID","Unique Order ID")</f>
        <v>Unique Order ID</v>
      </c>
    </row>
    <row r="949" spans="1:13" x14ac:dyDescent="0.3">
      <c r="A949" t="s">
        <v>985</v>
      </c>
      <c r="B949" s="1">
        <v>46100</v>
      </c>
      <c r="C949" t="s">
        <v>89</v>
      </c>
      <c r="D949" t="s">
        <v>23</v>
      </c>
      <c r="E949" t="s">
        <v>34</v>
      </c>
      <c r="F949" t="s">
        <v>24</v>
      </c>
      <c r="G949" t="s">
        <v>77</v>
      </c>
      <c r="H949" s="5">
        <v>5</v>
      </c>
      <c r="I949" s="3">
        <v>53181</v>
      </c>
      <c r="J949" s="10">
        <v>15</v>
      </c>
      <c r="K949" s="2">
        <v>226019.25</v>
      </c>
      <c r="L949" s="2">
        <f>Raw_Sales_Data3[[#This Row],[Quantity]]*Raw_Sales_Data3[[#This Row],[Unit Price]]*(Raw_Sales_Data3[[#This Row],[Discount %]]/100)</f>
        <v>39885.75</v>
      </c>
      <c r="M949" t="str">
        <f>IF(COUNTIF(Raw_Sales_Data3[Order ID],Raw_Sales_Data3[[#This Row],[Order ID]])&gt;1,"Duplicate Order ID","Unique Order ID")</f>
        <v>Unique Order ID</v>
      </c>
    </row>
    <row r="950" spans="1:13" x14ac:dyDescent="0.3">
      <c r="A950" t="s">
        <v>986</v>
      </c>
      <c r="B950" s="1">
        <v>46076</v>
      </c>
      <c r="C950" t="s">
        <v>22</v>
      </c>
      <c r="D950" t="s">
        <v>58</v>
      </c>
      <c r="E950" t="s">
        <v>13</v>
      </c>
      <c r="F950" t="s">
        <v>14</v>
      </c>
      <c r="G950" t="s">
        <v>51</v>
      </c>
      <c r="H950" s="5">
        <v>8</v>
      </c>
      <c r="I950" s="3">
        <v>56182</v>
      </c>
      <c r="J950" s="10">
        <v>0</v>
      </c>
      <c r="K950" s="2">
        <v>449456</v>
      </c>
      <c r="L950" s="2">
        <f>Raw_Sales_Data3[[#This Row],[Quantity]]*Raw_Sales_Data3[[#This Row],[Unit Price]]*(Raw_Sales_Data3[[#This Row],[Discount %]]/100)</f>
        <v>0</v>
      </c>
      <c r="M950" t="str">
        <f>IF(COUNTIF(Raw_Sales_Data3[Order ID],Raw_Sales_Data3[[#This Row],[Order ID]])&gt;1,"Duplicate Order ID","Unique Order ID")</f>
        <v>Unique Order ID</v>
      </c>
    </row>
    <row r="951" spans="1:13" x14ac:dyDescent="0.3">
      <c r="A951" t="s">
        <v>987</v>
      </c>
      <c r="B951" s="1">
        <v>46100</v>
      </c>
      <c r="C951" t="s">
        <v>62</v>
      </c>
      <c r="D951" t="s">
        <v>58</v>
      </c>
      <c r="E951" t="s">
        <v>18</v>
      </c>
      <c r="F951" t="s">
        <v>19</v>
      </c>
      <c r="G951" t="s">
        <v>31</v>
      </c>
      <c r="H951" s="5">
        <v>8</v>
      </c>
      <c r="I951" s="3">
        <v>55173</v>
      </c>
      <c r="J951" s="10">
        <v>0</v>
      </c>
      <c r="K951" s="2">
        <v>441384</v>
      </c>
      <c r="L951" s="2">
        <f>Raw_Sales_Data3[[#This Row],[Quantity]]*Raw_Sales_Data3[[#This Row],[Unit Price]]*(Raw_Sales_Data3[[#This Row],[Discount %]]/100)</f>
        <v>0</v>
      </c>
      <c r="M951" t="str">
        <f>IF(COUNTIF(Raw_Sales_Data3[Order ID],Raw_Sales_Data3[[#This Row],[Order ID]])&gt;1,"Duplicate Order ID","Unique Order ID")</f>
        <v>Unique Order ID</v>
      </c>
    </row>
    <row r="952" spans="1:13" x14ac:dyDescent="0.3">
      <c r="A952" t="s">
        <v>988</v>
      </c>
      <c r="B952" s="1">
        <v>46063</v>
      </c>
      <c r="C952" t="s">
        <v>42</v>
      </c>
      <c r="D952" t="s">
        <v>43</v>
      </c>
      <c r="E952" t="s">
        <v>18</v>
      </c>
      <c r="F952" t="s">
        <v>24</v>
      </c>
      <c r="G952" t="s">
        <v>77</v>
      </c>
      <c r="H952" s="5">
        <v>14</v>
      </c>
      <c r="I952" s="3">
        <f>K952/H952</f>
        <v>30822.7</v>
      </c>
      <c r="J952" s="10">
        <v>15</v>
      </c>
      <c r="K952" s="2">
        <v>431517.8</v>
      </c>
      <c r="L952" s="2">
        <f>Raw_Sales_Data3[[#This Row],[Quantity]]*Raw_Sales_Data3[[#This Row],[Unit Price]]*(Raw_Sales_Data3[[#This Row],[Discount %]]/100)</f>
        <v>64727.67</v>
      </c>
      <c r="M952" t="str">
        <f>IF(COUNTIF(Raw_Sales_Data3[Order ID],Raw_Sales_Data3[[#This Row],[Order ID]])&gt;1,"Duplicate Order ID","Unique Order ID")</f>
        <v>Unique Order ID</v>
      </c>
    </row>
    <row r="953" spans="1:13" x14ac:dyDescent="0.3">
      <c r="A953" t="s">
        <v>989</v>
      </c>
      <c r="B953" s="1">
        <v>46098</v>
      </c>
      <c r="C953" t="s">
        <v>48</v>
      </c>
      <c r="D953" t="s">
        <v>70</v>
      </c>
      <c r="E953" t="s">
        <v>28</v>
      </c>
      <c r="F953" t="s">
        <v>19</v>
      </c>
      <c r="G953" t="s">
        <v>46</v>
      </c>
      <c r="H953" s="5">
        <v>2</v>
      </c>
      <c r="I953" s="3">
        <v>55358</v>
      </c>
      <c r="J953" s="10">
        <v>5</v>
      </c>
      <c r="K953" s="2">
        <v>105180.2</v>
      </c>
      <c r="L953" s="2">
        <f>Raw_Sales_Data3[[#This Row],[Quantity]]*Raw_Sales_Data3[[#This Row],[Unit Price]]*(Raw_Sales_Data3[[#This Row],[Discount %]]/100)</f>
        <v>5535.8</v>
      </c>
      <c r="M953" t="str">
        <f>IF(COUNTIF(Raw_Sales_Data3[Order ID],Raw_Sales_Data3[[#This Row],[Order ID]])&gt;1,"Duplicate Order ID","Unique Order ID")</f>
        <v>Unique Order ID</v>
      </c>
    </row>
    <row r="954" spans="1:13" x14ac:dyDescent="0.3">
      <c r="A954" t="s">
        <v>990</v>
      </c>
      <c r="B954" s="1">
        <v>46025</v>
      </c>
      <c r="C954" t="s">
        <v>69</v>
      </c>
      <c r="D954" t="s">
        <v>23</v>
      </c>
      <c r="E954" t="s">
        <v>13</v>
      </c>
      <c r="F954" t="s">
        <v>24</v>
      </c>
      <c r="G954" t="s">
        <v>25</v>
      </c>
      <c r="H954" s="5">
        <v>9</v>
      </c>
      <c r="I954" s="3">
        <v>39846</v>
      </c>
      <c r="J954" s="10">
        <v>0</v>
      </c>
      <c r="K954" s="2">
        <v>358614</v>
      </c>
      <c r="L954" s="2">
        <f>Raw_Sales_Data3[[#This Row],[Quantity]]*Raw_Sales_Data3[[#This Row],[Unit Price]]*(Raw_Sales_Data3[[#This Row],[Discount %]]/100)</f>
        <v>0</v>
      </c>
      <c r="M954" t="str">
        <f>IF(COUNTIF(Raw_Sales_Data3[Order ID],Raw_Sales_Data3[[#This Row],[Order ID]])&gt;1,"Duplicate Order ID","Unique Order ID")</f>
        <v>Unique Order ID</v>
      </c>
    </row>
    <row r="955" spans="1:13" x14ac:dyDescent="0.3">
      <c r="A955" t="s">
        <v>991</v>
      </c>
      <c r="B955" s="1">
        <v>46098</v>
      </c>
      <c r="C955" t="s">
        <v>86</v>
      </c>
      <c r="D955" t="s">
        <v>70</v>
      </c>
      <c r="E955" t="s">
        <v>18</v>
      </c>
      <c r="F955" t="s">
        <v>14</v>
      </c>
      <c r="G955" t="s">
        <v>98</v>
      </c>
      <c r="H955" s="5">
        <v>7</v>
      </c>
      <c r="I955" s="3">
        <v>57270</v>
      </c>
      <c r="J955" s="10">
        <v>20</v>
      </c>
      <c r="K955" s="2">
        <v>320712</v>
      </c>
      <c r="L955" s="2">
        <f>Raw_Sales_Data3[[#This Row],[Quantity]]*Raw_Sales_Data3[[#This Row],[Unit Price]]*(Raw_Sales_Data3[[#This Row],[Discount %]]/100)</f>
        <v>80178</v>
      </c>
      <c r="M955" t="str">
        <f>IF(COUNTIF(Raw_Sales_Data3[Order ID],Raw_Sales_Data3[[#This Row],[Order ID]])&gt;1,"Duplicate Order ID","Unique Order ID")</f>
        <v>Unique Order ID</v>
      </c>
    </row>
    <row r="956" spans="1:13" x14ac:dyDescent="0.3">
      <c r="A956" t="s">
        <v>992</v>
      </c>
      <c r="B956" s="1">
        <v>46103</v>
      </c>
      <c r="C956" t="s">
        <v>27</v>
      </c>
      <c r="D956" t="s">
        <v>58</v>
      </c>
      <c r="E956" t="s">
        <v>13</v>
      </c>
      <c r="F956" t="s">
        <v>24</v>
      </c>
      <c r="G956" t="s">
        <v>77</v>
      </c>
      <c r="H956" s="5">
        <v>7</v>
      </c>
      <c r="I956" s="3">
        <f>K956/H956</f>
        <v>14887.199999999999</v>
      </c>
      <c r="J956" s="10">
        <v>20</v>
      </c>
      <c r="K956" s="2">
        <v>104210.4</v>
      </c>
      <c r="L956" s="2">
        <f>Raw_Sales_Data3[[#This Row],[Quantity]]*Raw_Sales_Data3[[#This Row],[Unit Price]]*(Raw_Sales_Data3[[#This Row],[Discount %]]/100)</f>
        <v>20842.080000000002</v>
      </c>
      <c r="M956" t="str">
        <f>IF(COUNTIF(Raw_Sales_Data3[Order ID],Raw_Sales_Data3[[#This Row],[Order ID]])&gt;1,"Duplicate Order ID","Unique Order ID")</f>
        <v>Unique Order ID</v>
      </c>
    </row>
    <row r="957" spans="1:13" x14ac:dyDescent="0.3">
      <c r="A957" t="s">
        <v>993</v>
      </c>
      <c r="B957" s="1"/>
      <c r="C957" t="s">
        <v>33</v>
      </c>
      <c r="D957" t="s">
        <v>58</v>
      </c>
      <c r="E957" t="s">
        <v>28</v>
      </c>
      <c r="F957" t="s">
        <v>24</v>
      </c>
      <c r="G957" t="s">
        <v>77</v>
      </c>
      <c r="H957" s="5">
        <v>6</v>
      </c>
      <c r="I957" s="3">
        <v>4609</v>
      </c>
      <c r="J957" s="10">
        <v>15</v>
      </c>
      <c r="K957" s="2">
        <v>23505.9</v>
      </c>
      <c r="L957" s="2">
        <f>Raw_Sales_Data3[[#This Row],[Quantity]]*Raw_Sales_Data3[[#This Row],[Unit Price]]*(Raw_Sales_Data3[[#This Row],[Discount %]]/100)</f>
        <v>4148.0999999999995</v>
      </c>
      <c r="M957" t="str">
        <f>IF(COUNTIF(Raw_Sales_Data3[Order ID],Raw_Sales_Data3[[#This Row],[Order ID]])&gt;1,"Duplicate Order ID","Unique Order ID")</f>
        <v>Unique Order ID</v>
      </c>
    </row>
    <row r="958" spans="1:13" x14ac:dyDescent="0.3">
      <c r="A958" t="s">
        <v>994</v>
      </c>
      <c r="B958" s="1">
        <v>46045</v>
      </c>
      <c r="C958" t="s">
        <v>48</v>
      </c>
      <c r="D958" t="s">
        <v>23</v>
      </c>
      <c r="E958" t="s">
        <v>13</v>
      </c>
      <c r="F958" t="s">
        <v>24</v>
      </c>
      <c r="G958" t="s">
        <v>53</v>
      </c>
      <c r="H958" s="5">
        <v>13</v>
      </c>
      <c r="I958" s="3">
        <v>30023</v>
      </c>
      <c r="J958" s="10">
        <v>0</v>
      </c>
      <c r="K958" s="2">
        <v>390299</v>
      </c>
      <c r="L958" s="2">
        <f>Raw_Sales_Data3[[#This Row],[Quantity]]*Raw_Sales_Data3[[#This Row],[Unit Price]]*(Raw_Sales_Data3[[#This Row],[Discount %]]/100)</f>
        <v>0</v>
      </c>
      <c r="M958" t="str">
        <f>IF(COUNTIF(Raw_Sales_Data3[Order ID],Raw_Sales_Data3[[#This Row],[Order ID]])&gt;1,"Duplicate Order ID","Unique Order ID")</f>
        <v>Unique Order ID</v>
      </c>
    </row>
    <row r="959" spans="1:13" x14ac:dyDescent="0.3">
      <c r="A959" t="s">
        <v>995</v>
      </c>
      <c r="B959" s="1">
        <v>46102</v>
      </c>
      <c r="C959" t="s">
        <v>54</v>
      </c>
      <c r="D959" t="s">
        <v>70</v>
      </c>
      <c r="E959" t="s">
        <v>39</v>
      </c>
      <c r="F959" t="s">
        <v>19</v>
      </c>
      <c r="G959" t="s">
        <v>120</v>
      </c>
      <c r="H959" s="5">
        <v>7</v>
      </c>
      <c r="I959" s="3">
        <v>37499</v>
      </c>
      <c r="J959" s="10">
        <v>15</v>
      </c>
      <c r="K959" s="2">
        <v>223119.05</v>
      </c>
      <c r="L959" s="2">
        <f>Raw_Sales_Data3[[#This Row],[Quantity]]*Raw_Sales_Data3[[#This Row],[Unit Price]]*(Raw_Sales_Data3[[#This Row],[Discount %]]/100)</f>
        <v>39373.949999999997</v>
      </c>
      <c r="M959" t="str">
        <f>IF(COUNTIF(Raw_Sales_Data3[Order ID],Raw_Sales_Data3[[#This Row],[Order ID]])&gt;1,"Duplicate Order ID","Unique Order ID")</f>
        <v>Unique Order ID</v>
      </c>
    </row>
    <row r="960" spans="1:13" x14ac:dyDescent="0.3">
      <c r="A960" t="s">
        <v>996</v>
      </c>
      <c r="B960" s="1">
        <v>46085</v>
      </c>
      <c r="C960" t="s">
        <v>38</v>
      </c>
      <c r="D960" t="s">
        <v>43</v>
      </c>
      <c r="E960" t="s">
        <v>13</v>
      </c>
      <c r="F960" t="s">
        <v>19</v>
      </c>
      <c r="G960" t="s">
        <v>46</v>
      </c>
      <c r="H960" s="5">
        <v>1</v>
      </c>
      <c r="I960" s="3">
        <v>59447</v>
      </c>
      <c r="J960" s="10">
        <v>5</v>
      </c>
      <c r="K960" s="2">
        <v>56474.65</v>
      </c>
      <c r="L960" s="2">
        <f>Raw_Sales_Data3[[#This Row],[Quantity]]*Raw_Sales_Data3[[#This Row],[Unit Price]]*(Raw_Sales_Data3[[#This Row],[Discount %]]/100)</f>
        <v>2972.3500000000004</v>
      </c>
      <c r="M960" t="str">
        <f>IF(COUNTIF(Raw_Sales_Data3[Order ID],Raw_Sales_Data3[[#This Row],[Order ID]])&gt;1,"Duplicate Order ID","Unique Order ID")</f>
        <v>Unique Order ID</v>
      </c>
    </row>
    <row r="961" spans="1:13" x14ac:dyDescent="0.3">
      <c r="A961" t="s">
        <v>997</v>
      </c>
      <c r="B961" s="1">
        <v>46023</v>
      </c>
      <c r="C961" t="s">
        <v>48</v>
      </c>
      <c r="D961" t="s">
        <v>23</v>
      </c>
      <c r="E961" t="s">
        <v>28</v>
      </c>
      <c r="F961" t="s">
        <v>19</v>
      </c>
      <c r="G961" t="s">
        <v>1038</v>
      </c>
      <c r="H961" s="5">
        <f>K961/(I961*(1-J961/100))</f>
        <v>10</v>
      </c>
      <c r="I961" s="3">
        <v>23622</v>
      </c>
      <c r="J961" s="10">
        <v>10</v>
      </c>
      <c r="K961" s="2">
        <v>212598</v>
      </c>
      <c r="L961" s="2">
        <f>Raw_Sales_Data3[[#This Row],[Quantity]]*Raw_Sales_Data3[[#This Row],[Unit Price]]*(Raw_Sales_Data3[[#This Row],[Discount %]]/100)</f>
        <v>23622</v>
      </c>
      <c r="M961" t="str">
        <f>IF(COUNTIF(Raw_Sales_Data3[Order ID],Raw_Sales_Data3[[#This Row],[Order ID]])&gt;1,"Duplicate Order ID","Unique Order ID")</f>
        <v>Unique Order ID</v>
      </c>
    </row>
    <row r="962" spans="1:13" x14ac:dyDescent="0.3">
      <c r="A962" t="s">
        <v>998</v>
      </c>
      <c r="B962" s="1">
        <v>46033</v>
      </c>
      <c r="C962" t="s">
        <v>123</v>
      </c>
      <c r="D962" t="s">
        <v>58</v>
      </c>
      <c r="E962" t="s">
        <v>28</v>
      </c>
      <c r="F962" t="s">
        <v>14</v>
      </c>
      <c r="G962" t="s">
        <v>125</v>
      </c>
      <c r="H962" s="5">
        <v>7</v>
      </c>
      <c r="I962" s="3">
        <v>21348</v>
      </c>
      <c r="J962" s="10">
        <v>0</v>
      </c>
      <c r="K962" s="2">
        <v>149436</v>
      </c>
      <c r="L962" s="2">
        <f>Raw_Sales_Data3[[#This Row],[Quantity]]*Raw_Sales_Data3[[#This Row],[Unit Price]]*(Raw_Sales_Data3[[#This Row],[Discount %]]/100)</f>
        <v>0</v>
      </c>
      <c r="M962" t="str">
        <f>IF(COUNTIF(Raw_Sales_Data3[Order ID],Raw_Sales_Data3[[#This Row],[Order ID]])&gt;1,"Duplicate Order ID","Unique Order ID")</f>
        <v>Unique Order ID</v>
      </c>
    </row>
    <row r="963" spans="1:13" x14ac:dyDescent="0.3">
      <c r="A963" t="s">
        <v>999</v>
      </c>
      <c r="B963" s="1">
        <v>46110</v>
      </c>
      <c r="C963" t="s">
        <v>62</v>
      </c>
      <c r="D963" t="s">
        <v>58</v>
      </c>
      <c r="E963" t="s">
        <v>18</v>
      </c>
      <c r="F963" t="s">
        <v>24</v>
      </c>
      <c r="G963" t="s">
        <v>55</v>
      </c>
      <c r="H963" s="5">
        <v>10</v>
      </c>
      <c r="I963" s="3">
        <v>43527</v>
      </c>
      <c r="J963" s="10">
        <v>0</v>
      </c>
      <c r="K963" s="2">
        <v>435270</v>
      </c>
      <c r="L963" s="2">
        <f>Raw_Sales_Data3[[#This Row],[Quantity]]*Raw_Sales_Data3[[#This Row],[Unit Price]]*(Raw_Sales_Data3[[#This Row],[Discount %]]/100)</f>
        <v>0</v>
      </c>
      <c r="M963" t="str">
        <f>IF(COUNTIF(Raw_Sales_Data3[Order ID],Raw_Sales_Data3[[#This Row],[Order ID]])&gt;1,"Duplicate Order ID","Unique Order ID")</f>
        <v>Unique Order ID</v>
      </c>
    </row>
    <row r="964" spans="1:13" x14ac:dyDescent="0.3">
      <c r="A964" t="s">
        <v>1000</v>
      </c>
      <c r="B964" s="1">
        <v>46090</v>
      </c>
      <c r="C964" t="s">
        <v>64</v>
      </c>
      <c r="D964" t="s">
        <v>70</v>
      </c>
      <c r="E964" t="s">
        <v>18</v>
      </c>
      <c r="F964" t="s">
        <v>14</v>
      </c>
      <c r="G964" t="s">
        <v>66</v>
      </c>
      <c r="H964" s="5">
        <v>15</v>
      </c>
      <c r="I964" s="3">
        <v>20311</v>
      </c>
      <c r="J964" s="10">
        <v>20</v>
      </c>
      <c r="K964" s="2">
        <v>243732</v>
      </c>
      <c r="L964" s="2">
        <f>Raw_Sales_Data3[[#This Row],[Quantity]]*Raw_Sales_Data3[[#This Row],[Unit Price]]*(Raw_Sales_Data3[[#This Row],[Discount %]]/100)</f>
        <v>60933</v>
      </c>
      <c r="M964" t="str">
        <f>IF(COUNTIF(Raw_Sales_Data3[Order ID],Raw_Sales_Data3[[#This Row],[Order ID]])&gt;1,"Duplicate Order ID","Unique Order ID")</f>
        <v>Unique Order ID</v>
      </c>
    </row>
    <row r="965" spans="1:13" x14ac:dyDescent="0.3">
      <c r="A965" t="s">
        <v>1001</v>
      </c>
      <c r="B965" s="1">
        <v>46037</v>
      </c>
      <c r="C965" t="s">
        <v>50</v>
      </c>
      <c r="D965" t="s">
        <v>58</v>
      </c>
      <c r="E965" t="s">
        <v>28</v>
      </c>
      <c r="F965" t="s">
        <v>19</v>
      </c>
      <c r="G965" t="s">
        <v>40</v>
      </c>
      <c r="H965" s="5">
        <v>4</v>
      </c>
      <c r="I965" s="3">
        <v>28117</v>
      </c>
      <c r="J965" s="10">
        <v>10</v>
      </c>
      <c r="K965" s="2">
        <v>101221.2</v>
      </c>
      <c r="L965" s="2">
        <f>Raw_Sales_Data3[[#This Row],[Quantity]]*Raw_Sales_Data3[[#This Row],[Unit Price]]*(Raw_Sales_Data3[[#This Row],[Discount %]]/100)</f>
        <v>11246.800000000001</v>
      </c>
      <c r="M965" t="str">
        <f>IF(COUNTIF(Raw_Sales_Data3[Order ID],Raw_Sales_Data3[[#This Row],[Order ID]])&gt;1,"Duplicate Order ID","Unique Order ID")</f>
        <v>Unique Order ID</v>
      </c>
    </row>
    <row r="966" spans="1:13" x14ac:dyDescent="0.3">
      <c r="A966" t="s">
        <v>1002</v>
      </c>
      <c r="B966" s="1">
        <v>46107</v>
      </c>
      <c r="C966" t="s">
        <v>86</v>
      </c>
      <c r="D966" t="s">
        <v>23</v>
      </c>
      <c r="E966" t="s">
        <v>39</v>
      </c>
      <c r="F966" t="s">
        <v>19</v>
      </c>
      <c r="G966" t="s">
        <v>79</v>
      </c>
      <c r="H966" s="5">
        <v>7</v>
      </c>
      <c r="I966" s="3">
        <v>15761</v>
      </c>
      <c r="J966" s="10">
        <v>0</v>
      </c>
      <c r="K966" s="2">
        <v>104810.65</v>
      </c>
      <c r="L966" s="2">
        <f>Raw_Sales_Data3[[#This Row],[Quantity]]*Raw_Sales_Data3[[#This Row],[Unit Price]]*(Raw_Sales_Data3[[#This Row],[Discount %]]/100)</f>
        <v>0</v>
      </c>
      <c r="M966" t="str">
        <f>IF(COUNTIF(Raw_Sales_Data3[Order ID],Raw_Sales_Data3[[#This Row],[Order ID]])&gt;1,"Duplicate Order ID","Unique Order ID")</f>
        <v>Unique Order ID</v>
      </c>
    </row>
    <row r="967" spans="1:13" x14ac:dyDescent="0.3">
      <c r="A967" t="s">
        <v>1003</v>
      </c>
      <c r="B967" s="1">
        <v>46032</v>
      </c>
      <c r="C967" t="s">
        <v>50</v>
      </c>
      <c r="D967" t="s">
        <v>43</v>
      </c>
      <c r="E967" t="s">
        <v>18</v>
      </c>
      <c r="F967" t="s">
        <v>14</v>
      </c>
      <c r="G967" t="s">
        <v>156</v>
      </c>
      <c r="H967" s="5">
        <v>8</v>
      </c>
      <c r="I967" s="3">
        <v>14509</v>
      </c>
      <c r="J967" s="10">
        <v>0</v>
      </c>
      <c r="K967" s="2">
        <v>116072</v>
      </c>
      <c r="L967" s="2">
        <f>Raw_Sales_Data3[[#This Row],[Quantity]]*Raw_Sales_Data3[[#This Row],[Unit Price]]*(Raw_Sales_Data3[[#This Row],[Discount %]]/100)</f>
        <v>0</v>
      </c>
      <c r="M967" t="str">
        <f>IF(COUNTIF(Raw_Sales_Data3[Order ID],Raw_Sales_Data3[[#This Row],[Order ID]])&gt;1,"Duplicate Order ID","Unique Order ID")</f>
        <v>Unique Order ID</v>
      </c>
    </row>
    <row r="968" spans="1:13" x14ac:dyDescent="0.3">
      <c r="A968" t="s">
        <v>1004</v>
      </c>
      <c r="B968" s="1">
        <v>46102</v>
      </c>
      <c r="C968" t="s">
        <v>64</v>
      </c>
      <c r="D968" t="s">
        <v>23</v>
      </c>
      <c r="E968" t="s">
        <v>39</v>
      </c>
      <c r="F968" t="s">
        <v>19</v>
      </c>
      <c r="G968" t="s">
        <v>120</v>
      </c>
      <c r="H968" s="5">
        <v>3</v>
      </c>
      <c r="I968" s="3">
        <f>K968/H968</f>
        <v>17016</v>
      </c>
      <c r="J968" s="10">
        <v>0</v>
      </c>
      <c r="K968" s="2">
        <v>51048</v>
      </c>
      <c r="L968" s="2">
        <f>Raw_Sales_Data3[[#This Row],[Quantity]]*Raw_Sales_Data3[[#This Row],[Unit Price]]*(Raw_Sales_Data3[[#This Row],[Discount %]]/100)</f>
        <v>0</v>
      </c>
      <c r="M968" t="str">
        <f>IF(COUNTIF(Raw_Sales_Data3[Order ID],Raw_Sales_Data3[[#This Row],[Order ID]])&gt;1,"Duplicate Order ID","Unique Order ID")</f>
        <v>Unique Order ID</v>
      </c>
    </row>
    <row r="969" spans="1:13" x14ac:dyDescent="0.3">
      <c r="A969" t="s">
        <v>1005</v>
      </c>
      <c r="B969" s="1">
        <v>46058</v>
      </c>
      <c r="C969" t="s">
        <v>86</v>
      </c>
      <c r="D969" t="s">
        <v>70</v>
      </c>
      <c r="E969" t="s">
        <v>13</v>
      </c>
      <c r="F969" t="s">
        <v>19</v>
      </c>
      <c r="G969" t="s">
        <v>46</v>
      </c>
      <c r="H969" s="5">
        <v>13</v>
      </c>
      <c r="I969" s="3">
        <v>12030</v>
      </c>
      <c r="J969" s="10">
        <v>20</v>
      </c>
      <c r="K969" s="2">
        <v>125112</v>
      </c>
      <c r="L969" s="2">
        <f>Raw_Sales_Data3[[#This Row],[Quantity]]*Raw_Sales_Data3[[#This Row],[Unit Price]]*(Raw_Sales_Data3[[#This Row],[Discount %]]/100)</f>
        <v>31278</v>
      </c>
      <c r="M969" t="str">
        <f>IF(COUNTIF(Raw_Sales_Data3[Order ID],Raw_Sales_Data3[[#This Row],[Order ID]])&gt;1,"Duplicate Order ID","Unique Order ID")</f>
        <v>Unique Order ID</v>
      </c>
    </row>
    <row r="970" spans="1:13" x14ac:dyDescent="0.3">
      <c r="A970" t="s">
        <v>1006</v>
      </c>
      <c r="B970" s="1">
        <v>46070</v>
      </c>
      <c r="C970" t="s">
        <v>54</v>
      </c>
      <c r="D970" t="s">
        <v>70</v>
      </c>
      <c r="E970" t="s">
        <v>28</v>
      </c>
      <c r="F970" t="s">
        <v>14</v>
      </c>
      <c r="G970" t="s">
        <v>15</v>
      </c>
      <c r="H970" s="5">
        <v>2</v>
      </c>
      <c r="I970" s="3">
        <v>9581</v>
      </c>
      <c r="J970" s="10">
        <v>10</v>
      </c>
      <c r="K970" s="2">
        <v>17245.8</v>
      </c>
      <c r="L970" s="2">
        <f>Raw_Sales_Data3[[#This Row],[Quantity]]*Raw_Sales_Data3[[#This Row],[Unit Price]]*(Raw_Sales_Data3[[#This Row],[Discount %]]/100)</f>
        <v>1916.2</v>
      </c>
      <c r="M970" t="str">
        <f>IF(COUNTIF(Raw_Sales_Data3[Order ID],Raw_Sales_Data3[[#This Row],[Order ID]])&gt;1,"Duplicate Order ID","Unique Order ID")</f>
        <v>Unique Order ID</v>
      </c>
    </row>
    <row r="971" spans="1:13" x14ac:dyDescent="0.3">
      <c r="A971" t="s">
        <v>1007</v>
      </c>
      <c r="B971" s="1">
        <v>46023</v>
      </c>
      <c r="C971" t="s">
        <v>38</v>
      </c>
      <c r="D971" t="s">
        <v>70</v>
      </c>
      <c r="E971" t="s">
        <v>34</v>
      </c>
      <c r="F971" t="s">
        <v>14</v>
      </c>
      <c r="G971" t="s">
        <v>98</v>
      </c>
      <c r="H971" s="5">
        <v>2</v>
      </c>
      <c r="I971" s="3">
        <v>45790</v>
      </c>
      <c r="J971" s="10">
        <v>5</v>
      </c>
      <c r="K971" s="2">
        <v>87001</v>
      </c>
      <c r="L971" s="2">
        <f>Raw_Sales_Data3[[#This Row],[Quantity]]*Raw_Sales_Data3[[#This Row],[Unit Price]]*(Raw_Sales_Data3[[#This Row],[Discount %]]/100)</f>
        <v>4579</v>
      </c>
      <c r="M971" t="str">
        <f>IF(COUNTIF(Raw_Sales_Data3[Order ID],Raw_Sales_Data3[[#This Row],[Order ID]])&gt;1,"Duplicate Order ID","Unique Order ID")</f>
        <v>Unique Order ID</v>
      </c>
    </row>
    <row r="972" spans="1:13" x14ac:dyDescent="0.3">
      <c r="A972" t="s">
        <v>1008</v>
      </c>
      <c r="B972" s="1">
        <v>46060</v>
      </c>
      <c r="C972" t="s">
        <v>69</v>
      </c>
      <c r="D972" t="s">
        <v>23</v>
      </c>
      <c r="E972" t="s">
        <v>18</v>
      </c>
      <c r="F972" t="s">
        <v>19</v>
      </c>
      <c r="G972" t="s">
        <v>117</v>
      </c>
      <c r="H972" s="5">
        <v>9</v>
      </c>
      <c r="I972" s="3">
        <v>50334</v>
      </c>
      <c r="J972" s="10">
        <v>15</v>
      </c>
      <c r="K972" s="2">
        <v>385055.1</v>
      </c>
      <c r="L972" s="2">
        <f>Raw_Sales_Data3[[#This Row],[Quantity]]*Raw_Sales_Data3[[#This Row],[Unit Price]]*(Raw_Sales_Data3[[#This Row],[Discount %]]/100)</f>
        <v>67950.899999999994</v>
      </c>
      <c r="M972" t="str">
        <f>IF(COUNTIF(Raw_Sales_Data3[Order ID],Raw_Sales_Data3[[#This Row],[Order ID]])&gt;1,"Duplicate Order ID","Unique Order ID")</f>
        <v>Unique Order ID</v>
      </c>
    </row>
    <row r="973" spans="1:13" x14ac:dyDescent="0.3">
      <c r="A973" t="s">
        <v>1009</v>
      </c>
      <c r="B973" s="1">
        <v>46035</v>
      </c>
      <c r="C973" t="s">
        <v>33</v>
      </c>
      <c r="D973" t="s">
        <v>23</v>
      </c>
      <c r="E973" t="s">
        <v>13</v>
      </c>
      <c r="F973" t="s">
        <v>19</v>
      </c>
      <c r="G973" t="s">
        <v>46</v>
      </c>
      <c r="H973" s="5">
        <v>2</v>
      </c>
      <c r="I973" s="3">
        <v>11102</v>
      </c>
      <c r="J973" s="10">
        <v>20</v>
      </c>
      <c r="K973" s="2">
        <v>17763.2</v>
      </c>
      <c r="L973" s="2">
        <f>Raw_Sales_Data3[[#This Row],[Quantity]]*Raw_Sales_Data3[[#This Row],[Unit Price]]*(Raw_Sales_Data3[[#This Row],[Discount %]]/100)</f>
        <v>4440.8</v>
      </c>
      <c r="M973" t="str">
        <f>IF(COUNTIF(Raw_Sales_Data3[Order ID],Raw_Sales_Data3[[#This Row],[Order ID]])&gt;1,"Duplicate Order ID","Unique Order ID")</f>
        <v>Unique Order ID</v>
      </c>
    </row>
    <row r="974" spans="1:13" x14ac:dyDescent="0.3">
      <c r="A974" t="s">
        <v>1010</v>
      </c>
      <c r="B974" s="1">
        <v>46024</v>
      </c>
      <c r="C974" t="s">
        <v>38</v>
      </c>
      <c r="D974" t="s">
        <v>58</v>
      </c>
      <c r="E974" t="s">
        <v>28</v>
      </c>
      <c r="F974" t="s">
        <v>24</v>
      </c>
      <c r="G974" t="s">
        <v>29</v>
      </c>
      <c r="H974" s="5">
        <v>12</v>
      </c>
      <c r="I974" s="3">
        <v>17554</v>
      </c>
      <c r="J974" s="10">
        <v>20</v>
      </c>
      <c r="K974" s="2">
        <v>168518.39999999999</v>
      </c>
      <c r="L974" s="2">
        <f>Raw_Sales_Data3[[#This Row],[Quantity]]*Raw_Sales_Data3[[#This Row],[Unit Price]]*(Raw_Sales_Data3[[#This Row],[Discount %]]/100)</f>
        <v>42129.600000000006</v>
      </c>
      <c r="M974" t="str">
        <f>IF(COUNTIF(Raw_Sales_Data3[Order ID],Raw_Sales_Data3[[#This Row],[Order ID]])&gt;1,"Duplicate Order ID","Unique Order ID")</f>
        <v>Unique Order ID</v>
      </c>
    </row>
    <row r="975" spans="1:13" x14ac:dyDescent="0.3">
      <c r="A975" t="s">
        <v>1011</v>
      </c>
      <c r="B975" s="1">
        <v>46099</v>
      </c>
      <c r="C975" t="s">
        <v>36</v>
      </c>
      <c r="D975" t="s">
        <v>58</v>
      </c>
      <c r="E975" t="s">
        <v>13</v>
      </c>
      <c r="F975" t="s">
        <v>24</v>
      </c>
      <c r="G975" t="s">
        <v>53</v>
      </c>
      <c r="H975" s="5">
        <v>12</v>
      </c>
      <c r="I975" s="3">
        <v>503</v>
      </c>
      <c r="J975" s="10">
        <v>15</v>
      </c>
      <c r="K975" s="2">
        <v>5130.6000000000004</v>
      </c>
      <c r="L975" s="2">
        <f>Raw_Sales_Data3[[#This Row],[Quantity]]*Raw_Sales_Data3[[#This Row],[Unit Price]]*(Raw_Sales_Data3[[#This Row],[Discount %]]/100)</f>
        <v>905.4</v>
      </c>
      <c r="M975" t="str">
        <f>IF(COUNTIF(Raw_Sales_Data3[Order ID],Raw_Sales_Data3[[#This Row],[Order ID]])&gt;1,"Duplicate Order ID","Unique Order ID")</f>
        <v>Unique Order ID</v>
      </c>
    </row>
    <row r="976" spans="1:13" x14ac:dyDescent="0.3">
      <c r="A976" t="s">
        <v>1012</v>
      </c>
      <c r="B976" s="1">
        <v>46048</v>
      </c>
      <c r="C976" t="s">
        <v>69</v>
      </c>
      <c r="D976" t="s">
        <v>23</v>
      </c>
      <c r="E976" t="s">
        <v>39</v>
      </c>
      <c r="F976" t="s">
        <v>24</v>
      </c>
      <c r="G976" t="s">
        <v>25</v>
      </c>
      <c r="H976" s="5">
        <v>14</v>
      </c>
      <c r="I976" s="3">
        <v>54478</v>
      </c>
      <c r="J976" s="10">
        <v>0</v>
      </c>
      <c r="K976" s="2">
        <v>762692</v>
      </c>
      <c r="L976" s="2">
        <f>Raw_Sales_Data3[[#This Row],[Quantity]]*Raw_Sales_Data3[[#This Row],[Unit Price]]*(Raw_Sales_Data3[[#This Row],[Discount %]]/100)</f>
        <v>0</v>
      </c>
      <c r="M976" t="str">
        <f>IF(COUNTIF(Raw_Sales_Data3[Order ID],Raw_Sales_Data3[[#This Row],[Order ID]])&gt;1,"Duplicate Order ID","Unique Order ID")</f>
        <v>Unique Order ID</v>
      </c>
    </row>
    <row r="977" spans="1:13" x14ac:dyDescent="0.3">
      <c r="A977" t="s">
        <v>1013</v>
      </c>
      <c r="B977" s="1">
        <v>46057</v>
      </c>
      <c r="C977" t="s">
        <v>91</v>
      </c>
      <c r="D977" t="s">
        <v>58</v>
      </c>
      <c r="E977" t="s">
        <v>28</v>
      </c>
      <c r="F977" t="s">
        <v>19</v>
      </c>
      <c r="G977" t="s">
        <v>31</v>
      </c>
      <c r="H977" s="5">
        <v>3</v>
      </c>
      <c r="I977" s="3">
        <v>36005</v>
      </c>
      <c r="J977" s="10">
        <v>0</v>
      </c>
      <c r="K977" s="2">
        <v>108015</v>
      </c>
      <c r="L977" s="2">
        <f>Raw_Sales_Data3[[#This Row],[Quantity]]*Raw_Sales_Data3[[#This Row],[Unit Price]]*(Raw_Sales_Data3[[#This Row],[Discount %]]/100)</f>
        <v>0</v>
      </c>
      <c r="M977" t="str">
        <f>IF(COUNTIF(Raw_Sales_Data3[Order ID],Raw_Sales_Data3[[#This Row],[Order ID]])&gt;1,"Duplicate Order ID","Unique Order ID")</f>
        <v>Unique Order ID</v>
      </c>
    </row>
    <row r="978" spans="1:13" x14ac:dyDescent="0.3">
      <c r="A978" t="s">
        <v>1014</v>
      </c>
      <c r="B978" s="1">
        <v>46038</v>
      </c>
      <c r="C978" t="s">
        <v>62</v>
      </c>
      <c r="D978" t="s">
        <v>70</v>
      </c>
      <c r="E978" t="s">
        <v>34</v>
      </c>
      <c r="F978" t="s">
        <v>14</v>
      </c>
      <c r="G978" t="s">
        <v>98</v>
      </c>
      <c r="H978" s="5">
        <v>12</v>
      </c>
      <c r="I978" s="3">
        <v>5729</v>
      </c>
      <c r="J978" s="10">
        <v>5</v>
      </c>
      <c r="K978" s="2">
        <v>65310.6</v>
      </c>
      <c r="L978" s="2">
        <f>Raw_Sales_Data3[[#This Row],[Quantity]]*Raw_Sales_Data3[[#This Row],[Unit Price]]*(Raw_Sales_Data3[[#This Row],[Discount %]]/100)</f>
        <v>3437.4</v>
      </c>
      <c r="M978" t="str">
        <f>IF(COUNTIF(Raw_Sales_Data3[Order ID],Raw_Sales_Data3[[#This Row],[Order ID]])&gt;1,"Duplicate Order ID","Unique Order ID")</f>
        <v>Unique Order ID</v>
      </c>
    </row>
    <row r="979" spans="1:13" x14ac:dyDescent="0.3">
      <c r="A979" t="s">
        <v>1015</v>
      </c>
      <c r="B979" s="1">
        <v>46083</v>
      </c>
      <c r="C979" t="s">
        <v>69</v>
      </c>
      <c r="D979" t="s">
        <v>58</v>
      </c>
      <c r="E979" t="s">
        <v>34</v>
      </c>
      <c r="F979" t="s">
        <v>14</v>
      </c>
      <c r="G979" t="s">
        <v>125</v>
      </c>
      <c r="H979" s="5">
        <v>7</v>
      </c>
      <c r="I979" s="3">
        <v>14380</v>
      </c>
      <c r="J979" s="10">
        <v>0</v>
      </c>
      <c r="K979" s="2">
        <v>100660</v>
      </c>
      <c r="L979" s="2">
        <f>Raw_Sales_Data3[[#This Row],[Quantity]]*Raw_Sales_Data3[[#This Row],[Unit Price]]*(Raw_Sales_Data3[[#This Row],[Discount %]]/100)</f>
        <v>0</v>
      </c>
      <c r="M979" t="str">
        <f>IF(COUNTIF(Raw_Sales_Data3[Order ID],Raw_Sales_Data3[[#This Row],[Order ID]])&gt;1,"Duplicate Order ID","Unique Order ID")</f>
        <v>Unique Order ID</v>
      </c>
    </row>
    <row r="980" spans="1:13" x14ac:dyDescent="0.3">
      <c r="A980" t="s">
        <v>1016</v>
      </c>
      <c r="B980" s="1">
        <v>46080</v>
      </c>
      <c r="C980" t="s">
        <v>54</v>
      </c>
      <c r="D980" t="s">
        <v>23</v>
      </c>
      <c r="E980" t="s">
        <v>18</v>
      </c>
      <c r="F980" t="s">
        <v>14</v>
      </c>
      <c r="G980" t="s">
        <v>15</v>
      </c>
      <c r="H980" s="5">
        <v>4</v>
      </c>
      <c r="I980" s="3">
        <v>43825</v>
      </c>
      <c r="J980" s="10">
        <v>15</v>
      </c>
      <c r="K980" s="2">
        <v>149005</v>
      </c>
      <c r="L980" s="2">
        <f>Raw_Sales_Data3[[#This Row],[Quantity]]*Raw_Sales_Data3[[#This Row],[Unit Price]]*(Raw_Sales_Data3[[#This Row],[Discount %]]/100)</f>
        <v>26295</v>
      </c>
      <c r="M980" t="str">
        <f>IF(COUNTIF(Raw_Sales_Data3[Order ID],Raw_Sales_Data3[[#This Row],[Order ID]])&gt;1,"Duplicate Order ID","Unique Order ID")</f>
        <v>Unique Order ID</v>
      </c>
    </row>
    <row r="981" spans="1:13" x14ac:dyDescent="0.3">
      <c r="A981" t="s">
        <v>1017</v>
      </c>
      <c r="B981" s="1">
        <v>46082</v>
      </c>
      <c r="C981" t="s">
        <v>89</v>
      </c>
      <c r="D981" t="s">
        <v>43</v>
      </c>
      <c r="E981" t="s">
        <v>18</v>
      </c>
      <c r="F981" t="s">
        <v>24</v>
      </c>
      <c r="G981" t="s">
        <v>53</v>
      </c>
      <c r="H981" s="5">
        <v>1</v>
      </c>
      <c r="I981" s="3">
        <v>32397</v>
      </c>
      <c r="J981" s="10">
        <v>20</v>
      </c>
      <c r="K981" s="2">
        <v>25917.599999999999</v>
      </c>
      <c r="L981" s="2">
        <f>Raw_Sales_Data3[[#This Row],[Quantity]]*Raw_Sales_Data3[[#This Row],[Unit Price]]*(Raw_Sales_Data3[[#This Row],[Discount %]]/100)</f>
        <v>6479.4000000000005</v>
      </c>
      <c r="M981" t="str">
        <f>IF(COUNTIF(Raw_Sales_Data3[Order ID],Raw_Sales_Data3[[#This Row],[Order ID]])&gt;1,"Duplicate Order ID","Unique Order ID")</f>
        <v>Unique Order ID</v>
      </c>
    </row>
    <row r="982" spans="1:13" x14ac:dyDescent="0.3">
      <c r="A982" t="s">
        <v>1018</v>
      </c>
      <c r="B982" s="1">
        <v>46088</v>
      </c>
      <c r="C982" t="s">
        <v>17</v>
      </c>
      <c r="D982" t="s">
        <v>43</v>
      </c>
      <c r="E982" t="s">
        <v>28</v>
      </c>
      <c r="F982" t="s">
        <v>19</v>
      </c>
      <c r="G982" t="s">
        <v>40</v>
      </c>
      <c r="H982" s="5">
        <v>5</v>
      </c>
      <c r="I982" s="3">
        <v>49165</v>
      </c>
      <c r="J982" s="10">
        <v>5</v>
      </c>
      <c r="K982" s="2">
        <v>233533.75</v>
      </c>
      <c r="L982" s="2">
        <f>Raw_Sales_Data3[[#This Row],[Quantity]]*Raw_Sales_Data3[[#This Row],[Unit Price]]*(Raw_Sales_Data3[[#This Row],[Discount %]]/100)</f>
        <v>12291.25</v>
      </c>
      <c r="M982" t="str">
        <f>IF(COUNTIF(Raw_Sales_Data3[Order ID],Raw_Sales_Data3[[#This Row],[Order ID]])&gt;1,"Duplicate Order ID","Unique Order ID")</f>
        <v>Unique Order ID</v>
      </c>
    </row>
    <row r="983" spans="1:13" x14ac:dyDescent="0.3">
      <c r="A983" t="s">
        <v>1019</v>
      </c>
      <c r="B983" s="1">
        <v>46087</v>
      </c>
      <c r="C983" t="s">
        <v>36</v>
      </c>
      <c r="D983" t="s">
        <v>23</v>
      </c>
      <c r="E983" t="s">
        <v>34</v>
      </c>
      <c r="F983" t="s">
        <v>19</v>
      </c>
      <c r="G983" t="s">
        <v>59</v>
      </c>
      <c r="H983" s="5">
        <v>9</v>
      </c>
      <c r="I983" s="3">
        <v>12707</v>
      </c>
      <c r="J983" s="10">
        <v>10</v>
      </c>
      <c r="K983" s="2">
        <v>102926.7</v>
      </c>
      <c r="L983" s="2">
        <f>Raw_Sales_Data3[[#This Row],[Quantity]]*Raw_Sales_Data3[[#This Row],[Unit Price]]*(Raw_Sales_Data3[[#This Row],[Discount %]]/100)</f>
        <v>11436.300000000001</v>
      </c>
      <c r="M983" t="str">
        <f>IF(COUNTIF(Raw_Sales_Data3[Order ID],Raw_Sales_Data3[[#This Row],[Order ID]])&gt;1,"Duplicate Order ID","Unique Order ID")</f>
        <v>Unique Order ID</v>
      </c>
    </row>
    <row r="984" spans="1:13" x14ac:dyDescent="0.3">
      <c r="A984" t="s">
        <v>1020</v>
      </c>
      <c r="B984" s="1">
        <v>46060</v>
      </c>
      <c r="C984" t="s">
        <v>89</v>
      </c>
      <c r="D984" t="s">
        <v>58</v>
      </c>
      <c r="E984" t="s">
        <v>39</v>
      </c>
      <c r="F984" t="s">
        <v>19</v>
      </c>
      <c r="G984" t="s">
        <v>40</v>
      </c>
      <c r="H984" s="5">
        <v>13</v>
      </c>
      <c r="I984" s="3">
        <v>1033</v>
      </c>
      <c r="J984" s="10">
        <v>0</v>
      </c>
      <c r="K984" s="2">
        <v>13429</v>
      </c>
      <c r="L984" s="2">
        <f>Raw_Sales_Data3[[#This Row],[Quantity]]*Raw_Sales_Data3[[#This Row],[Unit Price]]*(Raw_Sales_Data3[[#This Row],[Discount %]]/100)</f>
        <v>0</v>
      </c>
      <c r="M984" t="str">
        <f>IF(COUNTIF(Raw_Sales_Data3[Order ID],Raw_Sales_Data3[[#This Row],[Order ID]])&gt;1,"Duplicate Order ID","Unique Order ID")</f>
        <v>Unique Order ID</v>
      </c>
    </row>
    <row r="985" spans="1:13" x14ac:dyDescent="0.3">
      <c r="A985" t="s">
        <v>1021</v>
      </c>
      <c r="B985" s="1"/>
      <c r="C985" t="s">
        <v>12</v>
      </c>
      <c r="D985" t="s">
        <v>70</v>
      </c>
      <c r="E985" t="s">
        <v>18</v>
      </c>
      <c r="F985" t="s">
        <v>19</v>
      </c>
      <c r="G985" t="s">
        <v>147</v>
      </c>
      <c r="H985" s="5">
        <v>9</v>
      </c>
      <c r="I985" s="3">
        <v>6750</v>
      </c>
      <c r="J985" s="10">
        <v>0</v>
      </c>
      <c r="K985" s="2">
        <v>60750</v>
      </c>
      <c r="L985" s="2">
        <f>Raw_Sales_Data3[[#This Row],[Quantity]]*Raw_Sales_Data3[[#This Row],[Unit Price]]*(Raw_Sales_Data3[[#This Row],[Discount %]]/100)</f>
        <v>0</v>
      </c>
      <c r="M985" t="str">
        <f>IF(COUNTIF(Raw_Sales_Data3[Order ID],Raw_Sales_Data3[[#This Row],[Order ID]])&gt;1,"Duplicate Order ID","Unique Order ID")</f>
        <v>Unique Order ID</v>
      </c>
    </row>
    <row r="986" spans="1:13" x14ac:dyDescent="0.3">
      <c r="A986" t="s">
        <v>1022</v>
      </c>
      <c r="B986" s="1">
        <v>46061</v>
      </c>
      <c r="C986" t="s">
        <v>64</v>
      </c>
      <c r="D986" t="s">
        <v>43</v>
      </c>
      <c r="E986" t="s">
        <v>34</v>
      </c>
      <c r="F986" t="s">
        <v>14</v>
      </c>
      <c r="G986" t="s">
        <v>15</v>
      </c>
      <c r="H986" s="5">
        <v>4</v>
      </c>
      <c r="I986" s="3">
        <v>28209</v>
      </c>
      <c r="J986" s="10">
        <v>0</v>
      </c>
      <c r="K986" s="2">
        <v>112836</v>
      </c>
      <c r="L986" s="2">
        <f>Raw_Sales_Data3[[#This Row],[Quantity]]*Raw_Sales_Data3[[#This Row],[Unit Price]]*(Raw_Sales_Data3[[#This Row],[Discount %]]/100)</f>
        <v>0</v>
      </c>
      <c r="M986" t="str">
        <f>IF(COUNTIF(Raw_Sales_Data3[Order ID],Raw_Sales_Data3[[#This Row],[Order ID]])&gt;1,"Duplicate Order ID","Unique Order ID")</f>
        <v>Unique Order ID</v>
      </c>
    </row>
    <row r="987" spans="1:13" x14ac:dyDescent="0.3">
      <c r="A987" t="s">
        <v>1023</v>
      </c>
      <c r="B987" s="1">
        <v>46082</v>
      </c>
      <c r="C987" t="s">
        <v>57</v>
      </c>
      <c r="D987" t="s">
        <v>70</v>
      </c>
      <c r="E987" t="s">
        <v>18</v>
      </c>
      <c r="F987" t="s">
        <v>19</v>
      </c>
      <c r="G987" t="s">
        <v>1038</v>
      </c>
      <c r="H987" s="5">
        <v>12</v>
      </c>
      <c r="I987" s="3">
        <v>32484</v>
      </c>
      <c r="J987" s="10">
        <v>5</v>
      </c>
      <c r="K987" s="2">
        <v>370317.6</v>
      </c>
      <c r="L987" s="2">
        <f>Raw_Sales_Data3[[#This Row],[Quantity]]*Raw_Sales_Data3[[#This Row],[Unit Price]]*(Raw_Sales_Data3[[#This Row],[Discount %]]/100)</f>
        <v>19490.400000000001</v>
      </c>
      <c r="M987" t="str">
        <f>IF(COUNTIF(Raw_Sales_Data3[Order ID],Raw_Sales_Data3[[#This Row],[Order ID]])&gt;1,"Duplicate Order ID","Unique Order ID")</f>
        <v>Unique Order ID</v>
      </c>
    </row>
    <row r="988" spans="1:13" x14ac:dyDescent="0.3">
      <c r="A988" t="s">
        <v>1024</v>
      </c>
      <c r="B988" s="1">
        <v>46112</v>
      </c>
      <c r="C988" t="s">
        <v>38</v>
      </c>
      <c r="D988" t="s">
        <v>70</v>
      </c>
      <c r="E988" t="s">
        <v>34</v>
      </c>
      <c r="F988" t="s">
        <v>14</v>
      </c>
      <c r="G988" t="s">
        <v>51</v>
      </c>
      <c r="H988" s="5">
        <v>10</v>
      </c>
      <c r="I988" s="3">
        <v>48845</v>
      </c>
      <c r="J988" s="10">
        <v>5</v>
      </c>
      <c r="K988" s="2">
        <v>464027.5</v>
      </c>
      <c r="L988" s="2">
        <f>Raw_Sales_Data3[[#This Row],[Quantity]]*Raw_Sales_Data3[[#This Row],[Unit Price]]*(Raw_Sales_Data3[[#This Row],[Discount %]]/100)</f>
        <v>24422.5</v>
      </c>
      <c r="M988" t="str">
        <f>IF(COUNTIF(Raw_Sales_Data3[Order ID],Raw_Sales_Data3[[#This Row],[Order ID]])&gt;1,"Duplicate Order ID","Unique Order ID")</f>
        <v>Unique Order ID</v>
      </c>
    </row>
    <row r="989" spans="1:13" x14ac:dyDescent="0.3">
      <c r="A989" t="s">
        <v>1025</v>
      </c>
      <c r="B989" s="1">
        <v>46076</v>
      </c>
      <c r="C989" t="s">
        <v>89</v>
      </c>
      <c r="D989" t="s">
        <v>58</v>
      </c>
      <c r="E989" t="s">
        <v>13</v>
      </c>
      <c r="F989" t="s">
        <v>19</v>
      </c>
      <c r="G989" t="s">
        <v>147</v>
      </c>
      <c r="H989" s="5">
        <v>5</v>
      </c>
      <c r="I989" s="3">
        <v>34925</v>
      </c>
      <c r="J989" s="10">
        <v>0</v>
      </c>
      <c r="K989" s="2">
        <v>174625</v>
      </c>
      <c r="L989" s="2">
        <f>Raw_Sales_Data3[[#This Row],[Quantity]]*Raw_Sales_Data3[[#This Row],[Unit Price]]*(Raw_Sales_Data3[[#This Row],[Discount %]]/100)</f>
        <v>0</v>
      </c>
      <c r="M989" t="str">
        <f>IF(COUNTIF(Raw_Sales_Data3[Order ID],Raw_Sales_Data3[[#This Row],[Order ID]])&gt;1,"Duplicate Order ID","Unique Order ID")</f>
        <v>Unique Order ID</v>
      </c>
    </row>
    <row r="990" spans="1:13" x14ac:dyDescent="0.3">
      <c r="A990" t="s">
        <v>1026</v>
      </c>
      <c r="B990" s="1">
        <v>46082</v>
      </c>
      <c r="C990" t="s">
        <v>27</v>
      </c>
      <c r="D990" t="s">
        <v>58</v>
      </c>
      <c r="E990" t="s">
        <v>18</v>
      </c>
      <c r="F990" t="s">
        <v>14</v>
      </c>
      <c r="G990" t="s">
        <v>73</v>
      </c>
      <c r="H990" s="5">
        <v>10</v>
      </c>
      <c r="I990" s="3">
        <v>52286</v>
      </c>
      <c r="J990" s="10">
        <v>0</v>
      </c>
      <c r="K990" s="2">
        <v>522860</v>
      </c>
      <c r="L990" s="2">
        <f>Raw_Sales_Data3[[#This Row],[Quantity]]*Raw_Sales_Data3[[#This Row],[Unit Price]]*(Raw_Sales_Data3[[#This Row],[Discount %]]/100)</f>
        <v>0</v>
      </c>
      <c r="M990" t="str">
        <f>IF(COUNTIF(Raw_Sales_Data3[Order ID],Raw_Sales_Data3[[#This Row],[Order ID]])&gt;1,"Duplicate Order ID","Unique Order ID")</f>
        <v>Unique Order ID</v>
      </c>
    </row>
    <row r="991" spans="1:13" x14ac:dyDescent="0.3">
      <c r="A991" t="s">
        <v>1027</v>
      </c>
      <c r="B991" s="1">
        <v>46052</v>
      </c>
      <c r="C991" t="s">
        <v>33</v>
      </c>
      <c r="D991" t="s">
        <v>58</v>
      </c>
      <c r="E991" t="s">
        <v>39</v>
      </c>
      <c r="F991" t="s">
        <v>24</v>
      </c>
      <c r="G991" t="s">
        <v>55</v>
      </c>
      <c r="H991" s="5">
        <v>15</v>
      </c>
      <c r="I991" s="3">
        <v>2275</v>
      </c>
      <c r="J991" s="10">
        <v>15</v>
      </c>
      <c r="K991" s="2">
        <v>29006.25</v>
      </c>
      <c r="L991" s="2">
        <f>Raw_Sales_Data3[[#This Row],[Quantity]]*Raw_Sales_Data3[[#This Row],[Unit Price]]*(Raw_Sales_Data3[[#This Row],[Discount %]]/100)</f>
        <v>5118.75</v>
      </c>
      <c r="M991" t="str">
        <f>IF(COUNTIF(Raw_Sales_Data3[Order ID],Raw_Sales_Data3[[#This Row],[Order ID]])&gt;1,"Duplicate Order ID","Unique Order ID")</f>
        <v>Unique Order ID</v>
      </c>
    </row>
    <row r="992" spans="1:13" x14ac:dyDescent="0.3">
      <c r="A992" t="s">
        <v>1028</v>
      </c>
      <c r="B992" s="1">
        <v>46109</v>
      </c>
      <c r="C992" t="s">
        <v>48</v>
      </c>
      <c r="D992" t="s">
        <v>70</v>
      </c>
      <c r="E992" t="s">
        <v>34</v>
      </c>
      <c r="F992" t="s">
        <v>14</v>
      </c>
      <c r="G992" t="s">
        <v>51</v>
      </c>
      <c r="H992" s="5">
        <v>3</v>
      </c>
      <c r="I992" s="3">
        <v>6745</v>
      </c>
      <c r="J992" s="10">
        <v>0</v>
      </c>
      <c r="K992" s="2">
        <v>20235</v>
      </c>
      <c r="L992" s="2">
        <f>Raw_Sales_Data3[[#This Row],[Quantity]]*Raw_Sales_Data3[[#This Row],[Unit Price]]*(Raw_Sales_Data3[[#This Row],[Discount %]]/100)</f>
        <v>0</v>
      </c>
      <c r="M992" t="str">
        <f>IF(COUNTIF(Raw_Sales_Data3[Order ID],Raw_Sales_Data3[[#This Row],[Order ID]])&gt;1,"Duplicate Order ID","Unique Order ID")</f>
        <v>Unique Order ID</v>
      </c>
    </row>
    <row r="993" spans="1:13" x14ac:dyDescent="0.3">
      <c r="A993" t="s">
        <v>1029</v>
      </c>
      <c r="B993" s="1">
        <v>46110</v>
      </c>
      <c r="C993" t="s">
        <v>36</v>
      </c>
      <c r="D993" t="s">
        <v>70</v>
      </c>
      <c r="E993" t="s">
        <v>34</v>
      </c>
      <c r="F993" t="s">
        <v>14</v>
      </c>
      <c r="G993" t="s">
        <v>103</v>
      </c>
      <c r="H993" s="5">
        <v>1</v>
      </c>
      <c r="I993" s="3">
        <v>36461</v>
      </c>
      <c r="J993" s="10">
        <v>15</v>
      </c>
      <c r="K993" s="2">
        <v>30991.85</v>
      </c>
      <c r="L993" s="2">
        <f>Raw_Sales_Data3[[#This Row],[Quantity]]*Raw_Sales_Data3[[#This Row],[Unit Price]]*(Raw_Sales_Data3[[#This Row],[Discount %]]/100)</f>
        <v>5469.15</v>
      </c>
      <c r="M993" t="str">
        <f>IF(COUNTIF(Raw_Sales_Data3[Order ID],Raw_Sales_Data3[[#This Row],[Order ID]])&gt;1,"Duplicate Order ID","Unique Order ID")</f>
        <v>Unique Order ID</v>
      </c>
    </row>
    <row r="994" spans="1:13" x14ac:dyDescent="0.3">
      <c r="A994" t="s">
        <v>1030</v>
      </c>
      <c r="B994" s="1">
        <v>46038</v>
      </c>
      <c r="C994" t="s">
        <v>27</v>
      </c>
      <c r="D994" t="s">
        <v>23</v>
      </c>
      <c r="E994" t="s">
        <v>34</v>
      </c>
      <c r="F994" t="s">
        <v>19</v>
      </c>
      <c r="G994" t="s">
        <v>147</v>
      </c>
      <c r="H994" s="5">
        <v>2</v>
      </c>
      <c r="I994" s="3">
        <v>58576</v>
      </c>
      <c r="J994" s="10">
        <v>20</v>
      </c>
      <c r="K994" s="2">
        <v>93721.600000000006</v>
      </c>
      <c r="L994" s="2">
        <f>Raw_Sales_Data3[[#This Row],[Quantity]]*Raw_Sales_Data3[[#This Row],[Unit Price]]*(Raw_Sales_Data3[[#This Row],[Discount %]]/100)</f>
        <v>23430.400000000001</v>
      </c>
      <c r="M994" t="str">
        <f>IF(COUNTIF(Raw_Sales_Data3[Order ID],Raw_Sales_Data3[[#This Row],[Order ID]])&gt;1,"Duplicate Order ID","Unique Order ID")</f>
        <v>Unique Order ID</v>
      </c>
    </row>
    <row r="995" spans="1:13" x14ac:dyDescent="0.3">
      <c r="A995" t="s">
        <v>1031</v>
      </c>
      <c r="B995" s="1">
        <v>46074</v>
      </c>
      <c r="C995" t="s">
        <v>123</v>
      </c>
      <c r="D995" t="s">
        <v>70</v>
      </c>
      <c r="E995" t="s">
        <v>28</v>
      </c>
      <c r="F995" t="s">
        <v>14</v>
      </c>
      <c r="G995" t="s">
        <v>66</v>
      </c>
      <c r="H995" s="5">
        <v>12</v>
      </c>
      <c r="I995" s="3">
        <v>20099</v>
      </c>
      <c r="J995" s="10">
        <v>5</v>
      </c>
      <c r="K995" s="2">
        <v>229128.6</v>
      </c>
      <c r="L995" s="2">
        <f>Raw_Sales_Data3[[#This Row],[Quantity]]*Raw_Sales_Data3[[#This Row],[Unit Price]]*(Raw_Sales_Data3[[#This Row],[Discount %]]/100)</f>
        <v>12059.400000000001</v>
      </c>
      <c r="M995" t="str">
        <f>IF(COUNTIF(Raw_Sales_Data3[Order ID],Raw_Sales_Data3[[#This Row],[Order ID]])&gt;1,"Duplicate Order ID","Unique Order ID")</f>
        <v>Unique Order ID</v>
      </c>
    </row>
    <row r="996" spans="1:13" x14ac:dyDescent="0.3">
      <c r="A996" t="s">
        <v>1032</v>
      </c>
      <c r="B996" s="1">
        <v>46092</v>
      </c>
      <c r="C996" t="s">
        <v>38</v>
      </c>
      <c r="D996" t="s">
        <v>58</v>
      </c>
      <c r="E996" t="s">
        <v>34</v>
      </c>
      <c r="F996" t="s">
        <v>24</v>
      </c>
      <c r="G996" t="s">
        <v>71</v>
      </c>
      <c r="H996" s="5">
        <v>14</v>
      </c>
      <c r="I996" s="3">
        <v>37438</v>
      </c>
      <c r="J996" s="10">
        <v>20</v>
      </c>
      <c r="K996" s="2">
        <v>419305.6</v>
      </c>
      <c r="L996" s="2">
        <f>Raw_Sales_Data3[[#This Row],[Quantity]]*Raw_Sales_Data3[[#This Row],[Unit Price]]*(Raw_Sales_Data3[[#This Row],[Discount %]]/100)</f>
        <v>104826.40000000001</v>
      </c>
      <c r="M996" t="str">
        <f>IF(COUNTIF(Raw_Sales_Data3[Order ID],Raw_Sales_Data3[[#This Row],[Order ID]])&gt;1,"Duplicate Order ID","Unique Order ID")</f>
        <v>Unique Order ID</v>
      </c>
    </row>
    <row r="997" spans="1:13" x14ac:dyDescent="0.3">
      <c r="A997" t="s">
        <v>1033</v>
      </c>
      <c r="B997" s="1">
        <v>46070</v>
      </c>
      <c r="C997" t="s">
        <v>91</v>
      </c>
      <c r="D997" t="s">
        <v>70</v>
      </c>
      <c r="E997" t="s">
        <v>34</v>
      </c>
      <c r="F997" t="s">
        <v>19</v>
      </c>
      <c r="G997" t="s">
        <v>120</v>
      </c>
      <c r="H997" s="5">
        <v>13</v>
      </c>
      <c r="I997" s="3">
        <v>56044</v>
      </c>
      <c r="J997" s="10">
        <v>5</v>
      </c>
      <c r="K997" s="2">
        <v>692143.4</v>
      </c>
      <c r="L997" s="2">
        <f>Raw_Sales_Data3[[#This Row],[Quantity]]*Raw_Sales_Data3[[#This Row],[Unit Price]]*(Raw_Sales_Data3[[#This Row],[Discount %]]/100)</f>
        <v>36428.6</v>
      </c>
      <c r="M997" t="str">
        <f>IF(COUNTIF(Raw_Sales_Data3[Order ID],Raw_Sales_Data3[[#This Row],[Order ID]])&gt;1,"Duplicate Order ID","Unique Order ID")</f>
        <v>Unique Order ID</v>
      </c>
    </row>
    <row r="998" spans="1:13" x14ac:dyDescent="0.3">
      <c r="A998" t="s">
        <v>1034</v>
      </c>
      <c r="B998" s="1">
        <v>46069</v>
      </c>
      <c r="C998" t="s">
        <v>123</v>
      </c>
      <c r="D998" t="s">
        <v>70</v>
      </c>
      <c r="E998" t="s">
        <v>18</v>
      </c>
      <c r="F998" t="s">
        <v>14</v>
      </c>
      <c r="G998" t="s">
        <v>25</v>
      </c>
      <c r="H998" s="5">
        <v>15</v>
      </c>
      <c r="I998" s="3">
        <v>36347</v>
      </c>
      <c r="J998" s="10">
        <v>0</v>
      </c>
      <c r="K998" s="2">
        <v>545205</v>
      </c>
      <c r="L998" s="2">
        <f>Raw_Sales_Data3[[#This Row],[Quantity]]*Raw_Sales_Data3[[#This Row],[Unit Price]]*(Raw_Sales_Data3[[#This Row],[Discount %]]/100)</f>
        <v>0</v>
      </c>
      <c r="M998" t="str">
        <f>IF(COUNTIF(Raw_Sales_Data3[Order ID],Raw_Sales_Data3[[#This Row],[Order ID]])&gt;1,"Duplicate Order ID","Unique Order ID")</f>
        <v>Unique Order ID</v>
      </c>
    </row>
    <row r="999" spans="1:13" x14ac:dyDescent="0.3">
      <c r="A999" t="s">
        <v>1035</v>
      </c>
      <c r="B999" s="1">
        <v>46042</v>
      </c>
      <c r="C999" t="s">
        <v>12</v>
      </c>
      <c r="D999" t="s">
        <v>23</v>
      </c>
      <c r="E999" t="s">
        <v>18</v>
      </c>
      <c r="F999" t="s">
        <v>19</v>
      </c>
      <c r="G999" t="s">
        <v>59</v>
      </c>
      <c r="H999" s="5">
        <v>2</v>
      </c>
      <c r="I999" s="3">
        <v>21397</v>
      </c>
      <c r="J999" s="10">
        <v>20</v>
      </c>
      <c r="K999" s="2">
        <v>34235.199999999997</v>
      </c>
      <c r="L999" s="2">
        <f>Raw_Sales_Data3[[#This Row],[Quantity]]*Raw_Sales_Data3[[#This Row],[Unit Price]]*(Raw_Sales_Data3[[#This Row],[Discount %]]/100)</f>
        <v>8558.8000000000011</v>
      </c>
      <c r="M999" t="str">
        <f>IF(COUNTIF(Raw_Sales_Data3[Order ID],Raw_Sales_Data3[[#This Row],[Order ID]])&gt;1,"Duplicate Order ID","Unique Order ID")</f>
        <v>Unique Order ID</v>
      </c>
    </row>
    <row r="1000" spans="1:13" x14ac:dyDescent="0.3">
      <c r="A1000" t="s">
        <v>1036</v>
      </c>
      <c r="B1000" s="1">
        <v>46109</v>
      </c>
      <c r="C1000" t="s">
        <v>17</v>
      </c>
      <c r="D1000" t="s">
        <v>43</v>
      </c>
      <c r="E1000" t="s">
        <v>28</v>
      </c>
      <c r="F1000" t="s">
        <v>14</v>
      </c>
      <c r="G1000" t="s">
        <v>51</v>
      </c>
      <c r="H1000" s="5">
        <v>5</v>
      </c>
      <c r="I1000" s="3">
        <v>56956</v>
      </c>
      <c r="J1000" s="10">
        <v>15</v>
      </c>
      <c r="K1000" s="2">
        <v>242063</v>
      </c>
      <c r="L1000" s="2">
        <f>Raw_Sales_Data3[[#This Row],[Quantity]]*Raw_Sales_Data3[[#This Row],[Unit Price]]*(Raw_Sales_Data3[[#This Row],[Discount %]]/100)</f>
        <v>42717</v>
      </c>
      <c r="M1000" t="str">
        <f>IF(COUNTIF(Raw_Sales_Data3[Order ID],Raw_Sales_Data3[[#This Row],[Order ID]])&gt;1,"Duplicate Order ID","Unique Order ID")</f>
        <v>Unique Order ID</v>
      </c>
    </row>
    <row r="1001" spans="1:13" x14ac:dyDescent="0.3">
      <c r="A1001" t="s">
        <v>1037</v>
      </c>
      <c r="B1001" s="1">
        <v>46048</v>
      </c>
      <c r="C1001" t="s">
        <v>91</v>
      </c>
      <c r="D1001" t="s">
        <v>70</v>
      </c>
      <c r="E1001" t="s">
        <v>28</v>
      </c>
      <c r="F1001" t="s">
        <v>19</v>
      </c>
      <c r="G1001" t="s">
        <v>46</v>
      </c>
      <c r="H1001" s="5">
        <v>15</v>
      </c>
      <c r="I1001" s="3">
        <v>16559</v>
      </c>
      <c r="J1001" s="10">
        <v>0</v>
      </c>
      <c r="K1001" s="2">
        <v>211127.25</v>
      </c>
      <c r="L1001" s="2">
        <f>Raw_Sales_Data3[[#This Row],[Quantity]]*Raw_Sales_Data3[[#This Row],[Unit Price]]*(Raw_Sales_Data3[[#This Row],[Discount %]]/100)</f>
        <v>0</v>
      </c>
      <c r="M1001" t="str">
        <f>IF(COUNTIF(Raw_Sales_Data3[Order ID],Raw_Sales_Data3[[#This Row],[Order ID]])&gt;1,"Duplicate Order ID","Unique Order ID")</f>
        <v>Unique Order ID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757D-5F07-4A8A-947B-AC473E10CA58}">
  <dimension ref="A1:C9"/>
  <sheetViews>
    <sheetView workbookViewId="0">
      <selection activeCell="C14" sqref="C14:C15"/>
    </sheetView>
  </sheetViews>
  <sheetFormatPr defaultRowHeight="14.4" x14ac:dyDescent="0.3"/>
  <cols>
    <col min="1" max="1" width="29.6640625" customWidth="1"/>
    <col min="2" max="2" width="9" customWidth="1"/>
    <col min="3" max="3" width="51.21875" customWidth="1"/>
  </cols>
  <sheetData>
    <row r="1" spans="1:3" x14ac:dyDescent="0.3">
      <c r="A1" t="s">
        <v>1040</v>
      </c>
      <c r="B1" t="s">
        <v>1041</v>
      </c>
      <c r="C1" t="s">
        <v>1042</v>
      </c>
    </row>
    <row r="2" spans="1:3" ht="31.2" x14ac:dyDescent="0.3">
      <c r="A2" s="6" t="s">
        <v>1044</v>
      </c>
      <c r="B2" s="7">
        <v>28</v>
      </c>
      <c r="C2" s="6" t="s">
        <v>1045</v>
      </c>
    </row>
    <row r="3" spans="1:3" ht="31.2" x14ac:dyDescent="0.3">
      <c r="A3" s="6" t="s">
        <v>1046</v>
      </c>
      <c r="B3" s="8">
        <v>31</v>
      </c>
      <c r="C3" s="8" t="s">
        <v>1047</v>
      </c>
    </row>
    <row r="4" spans="1:3" ht="15.6" x14ac:dyDescent="0.3">
      <c r="A4" s="8" t="s">
        <v>1048</v>
      </c>
      <c r="B4" s="8">
        <v>367</v>
      </c>
      <c r="C4" s="8" t="s">
        <v>1049</v>
      </c>
    </row>
    <row r="5" spans="1:3" ht="15.6" x14ac:dyDescent="0.3">
      <c r="A5" s="8" t="s">
        <v>1050</v>
      </c>
      <c r="B5" s="8">
        <v>29</v>
      </c>
      <c r="C5" s="8" t="s">
        <v>1051</v>
      </c>
    </row>
    <row r="6" spans="1:3" ht="15.6" x14ac:dyDescent="0.3">
      <c r="A6" s="8" t="s">
        <v>1052</v>
      </c>
      <c r="B6" s="9" t="s">
        <v>1053</v>
      </c>
      <c r="C6" s="8" t="s">
        <v>1054</v>
      </c>
    </row>
    <row r="7" spans="1:3" ht="15.6" x14ac:dyDescent="0.3">
      <c r="A7" s="8" t="s">
        <v>1055</v>
      </c>
      <c r="B7" s="9" t="s">
        <v>1053</v>
      </c>
      <c r="C7" t="s">
        <v>1056</v>
      </c>
    </row>
    <row r="8" spans="1:3" ht="15.6" x14ac:dyDescent="0.3">
      <c r="A8" s="8" t="s">
        <v>1057</v>
      </c>
      <c r="B8" s="8">
        <v>29</v>
      </c>
      <c r="C8" s="8" t="s">
        <v>1058</v>
      </c>
    </row>
    <row r="9" spans="1:3" ht="15.6" x14ac:dyDescent="0.3">
      <c r="A9" s="8"/>
      <c r="B9" s="8"/>
      <c r="C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5249-01E0-4406-99D6-76C20C63DD67}">
  <dimension ref="A1:U37"/>
  <sheetViews>
    <sheetView zoomScale="59" zoomScaleNormal="54" workbookViewId="0">
      <selection activeCell="H33" sqref="H33"/>
    </sheetView>
  </sheetViews>
  <sheetFormatPr defaultRowHeight="14.4" x14ac:dyDescent="0.3"/>
  <cols>
    <col min="1" max="1" width="23.88671875" bestFit="1" customWidth="1"/>
    <col min="2" max="2" width="16.109375" customWidth="1"/>
    <col min="3" max="3" width="10.5546875" bestFit="1" customWidth="1"/>
    <col min="4" max="5" width="13.88671875" bestFit="1" customWidth="1"/>
    <col min="6" max="6" width="26.44140625" bestFit="1" customWidth="1"/>
    <col min="7" max="7" width="12.33203125" bestFit="1" customWidth="1"/>
    <col min="8" max="8" width="21.88671875" bestFit="1" customWidth="1"/>
    <col min="9" max="9" width="14.77734375" bestFit="1" customWidth="1"/>
    <col min="11" max="11" width="17.21875" bestFit="1" customWidth="1"/>
    <col min="13" max="13" width="11.21875" bestFit="1" customWidth="1"/>
    <col min="15" max="15" width="15.88671875" bestFit="1" customWidth="1"/>
    <col min="18" max="18" width="17.33203125" bestFit="1" customWidth="1"/>
  </cols>
  <sheetData>
    <row r="1" spans="1:21" x14ac:dyDescent="0.3">
      <c r="A1" t="s">
        <v>1059</v>
      </c>
      <c r="C1" t="s">
        <v>1060</v>
      </c>
      <c r="E1" t="s">
        <v>1061</v>
      </c>
      <c r="H1" t="s">
        <v>1063</v>
      </c>
      <c r="K1" t="s">
        <v>1064</v>
      </c>
      <c r="M1" t="s">
        <v>1065</v>
      </c>
      <c r="O1" t="s">
        <v>1084</v>
      </c>
      <c r="R1" t="s">
        <v>1085</v>
      </c>
      <c r="U1" t="s">
        <v>1091</v>
      </c>
    </row>
    <row r="2" spans="1:21" x14ac:dyDescent="0.3">
      <c r="A2" s="3">
        <f>SUM(clean_data!K:K)</f>
        <v>217148194.00000012</v>
      </c>
      <c r="C2">
        <f>COUNTA(clean_data!A2:A1001)</f>
        <v>1000</v>
      </c>
      <c r="E2">
        <f>COUNTA(_xlfn.UNIQUE(clean_data!C2:C1001))</f>
        <v>20</v>
      </c>
      <c r="G2" s="5"/>
      <c r="H2" t="s">
        <v>43</v>
      </c>
      <c r="I2">
        <f>SUMIF(clean_data!D:D,"East",clean_data!K:K)</f>
        <v>41812569.749999978</v>
      </c>
      <c r="K2" t="str">
        <f>_xlfn.XLOOKUP(MAX(I2:I5),I2:I5,H2:H5)</f>
        <v>South</v>
      </c>
      <c r="M2" t="str">
        <f>_xlfn.XLOOKUP(MIN(I2:I5),I2:I5,H2:H5)</f>
        <v>East</v>
      </c>
      <c r="O2" s="10">
        <f>SUM(clean_data!H:H)</f>
        <v>8035</v>
      </c>
      <c r="R2" s="2">
        <f>A2/C2</f>
        <v>217148.19400000011</v>
      </c>
      <c r="U2" s="5">
        <f>AVERAGE(clean_data!J:J)</f>
        <v>8.0250000000000004</v>
      </c>
    </row>
    <row r="3" spans="1:21" x14ac:dyDescent="0.3">
      <c r="H3" t="s">
        <v>58</v>
      </c>
      <c r="I3">
        <f>SUMIF(clean_data!D:D,"West",clean_data!K:K)</f>
        <v>60196983.949999996</v>
      </c>
    </row>
    <row r="4" spans="1:21" x14ac:dyDescent="0.3">
      <c r="H4" t="s">
        <v>23</v>
      </c>
      <c r="I4">
        <f>SUMIF(clean_data!D:D,"South",clean_data!K:K)</f>
        <v>61336096.399999984</v>
      </c>
    </row>
    <row r="5" spans="1:21" x14ac:dyDescent="0.3">
      <c r="H5" t="s">
        <v>70</v>
      </c>
      <c r="I5">
        <f>SUMIF(clean_data!D:D,"North",clean_data!K:K)</f>
        <v>53802543.900000006</v>
      </c>
    </row>
    <row r="8" spans="1:21" x14ac:dyDescent="0.3">
      <c r="A8" t="s">
        <v>1066</v>
      </c>
      <c r="D8" t="s">
        <v>1067</v>
      </c>
      <c r="F8" t="s">
        <v>1068</v>
      </c>
      <c r="I8" t="s">
        <v>1070</v>
      </c>
      <c r="K8" t="s">
        <v>1077</v>
      </c>
    </row>
    <row r="9" spans="1:21" x14ac:dyDescent="0.3">
      <c r="A9" t="s">
        <v>14</v>
      </c>
      <c r="B9">
        <f>SUMIFS(clean_data!K:K,clean_data!F:F,"Furniture")</f>
        <v>64976355.649999991</v>
      </c>
      <c r="D9" t="str">
        <f>_xlfn.XLOOKUP(MAX(B9:B11),B9:B11,A9:A11)</f>
        <v>Office Supplies</v>
      </c>
      <c r="F9" t="s">
        <v>39</v>
      </c>
      <c r="G9">
        <f>SUMIFS(clean_data!K:K,clean_data!E:E,"Ajay")</f>
        <v>43404867.499999993</v>
      </c>
      <c r="I9" t="str">
        <f>_xlfn.XLOOKUP(MAX(G9:G13),G9:G13,F9:F13)</f>
        <v xml:space="preserve">Kiran </v>
      </c>
      <c r="K9" t="str">
        <f>_xlfn.XLOOKUP(MIN(G9:G13),G9:G13,F9:F13)</f>
        <v>Sneha</v>
      </c>
    </row>
    <row r="10" spans="1:21" x14ac:dyDescent="0.3">
      <c r="A10" t="s">
        <v>19</v>
      </c>
      <c r="B10">
        <f>SUMIFS(clean_data!K:K,clean_data!F:F,"Electronics")</f>
        <v>72648810.299999952</v>
      </c>
      <c r="F10" t="s">
        <v>1069</v>
      </c>
      <c r="G10">
        <f>SUMIFS(clean_data!K:K,clean_data!E:E,"Kiran")</f>
        <v>46363641.899999991</v>
      </c>
    </row>
    <row r="11" spans="1:21" x14ac:dyDescent="0.3">
      <c r="A11" t="s">
        <v>24</v>
      </c>
      <c r="B11">
        <f>SUMIFS(clean_data!K:K,clean_data!F:F,"Office Supplies")</f>
        <v>79523028.049999952</v>
      </c>
      <c r="D11" t="s">
        <v>1078</v>
      </c>
      <c r="F11" t="s">
        <v>13</v>
      </c>
      <c r="G11">
        <f>SUMIFS(clean_data!K:K,clean_data!E:E,"Rahul")</f>
        <v>40803061.04999999</v>
      </c>
    </row>
    <row r="12" spans="1:21" x14ac:dyDescent="0.3">
      <c r="D12" t="str">
        <f>_xlfn.XLOOKUP(MIN(B9:B11),B9:B11,A9:A11)</f>
        <v>Furniture</v>
      </c>
      <c r="F12" t="s">
        <v>18</v>
      </c>
      <c r="G12">
        <f>SUMIFS(clean_data!K:K,clean_data!E:E,"Rohit")</f>
        <v>45903246.250000007</v>
      </c>
    </row>
    <row r="13" spans="1:21" x14ac:dyDescent="0.3">
      <c r="F13" t="s">
        <v>34</v>
      </c>
      <c r="G13">
        <f>SUMIFS(clean_data!K:K,clean_data!E:E,"Sneha")</f>
        <v>40673377.300000012</v>
      </c>
    </row>
    <row r="15" spans="1:21" x14ac:dyDescent="0.3">
      <c r="P15" t="s">
        <v>1098</v>
      </c>
    </row>
    <row r="17" spans="11:16" x14ac:dyDescent="0.3">
      <c r="P17" t="s">
        <v>1093</v>
      </c>
    </row>
    <row r="18" spans="11:16" x14ac:dyDescent="0.3">
      <c r="P18" t="s">
        <v>1094</v>
      </c>
    </row>
    <row r="19" spans="11:16" x14ac:dyDescent="0.3">
      <c r="P19" t="s">
        <v>1095</v>
      </c>
    </row>
    <row r="20" spans="11:16" x14ac:dyDescent="0.3">
      <c r="P20" t="s">
        <v>7</v>
      </c>
    </row>
    <row r="21" spans="11:16" x14ac:dyDescent="0.3">
      <c r="P21" t="s">
        <v>1096</v>
      </c>
    </row>
    <row r="22" spans="11:16" x14ac:dyDescent="0.3">
      <c r="P22" t="s">
        <v>1097</v>
      </c>
    </row>
    <row r="25" spans="11:16" x14ac:dyDescent="0.3">
      <c r="K25" t="s">
        <v>1099</v>
      </c>
    </row>
    <row r="27" spans="11:16" x14ac:dyDescent="0.3">
      <c r="K27" t="s">
        <v>1100</v>
      </c>
    </row>
    <row r="29" spans="11:16" x14ac:dyDescent="0.3">
      <c r="K29" t="s">
        <v>1101</v>
      </c>
    </row>
    <row r="31" spans="11:16" x14ac:dyDescent="0.3">
      <c r="K31" t="s">
        <v>1102</v>
      </c>
    </row>
    <row r="33" spans="11:11" x14ac:dyDescent="0.3">
      <c r="K33" t="s">
        <v>1103</v>
      </c>
    </row>
    <row r="35" spans="11:11" x14ac:dyDescent="0.3">
      <c r="K35" t="s">
        <v>1104</v>
      </c>
    </row>
    <row r="37" spans="11:11" x14ac:dyDescent="0.3">
      <c r="K37" t="s">
        <v>1105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AF20-78A0-400C-9D39-17D4E7B02978}">
  <dimension ref="A1:N38"/>
  <sheetViews>
    <sheetView zoomScale="95" workbookViewId="0">
      <selection activeCell="K11" sqref="K11"/>
    </sheetView>
  </sheetViews>
  <sheetFormatPr defaultRowHeight="14.4" x14ac:dyDescent="0.3"/>
  <cols>
    <col min="1" max="1" width="12.77734375" bestFit="1" customWidth="1"/>
    <col min="2" max="2" width="12.6640625" bestFit="1" customWidth="1"/>
    <col min="4" max="4" width="12.5546875" bestFit="1" customWidth="1"/>
    <col min="5" max="5" width="12.77734375" bestFit="1" customWidth="1"/>
    <col min="6" max="6" width="12.6640625" bestFit="1" customWidth="1"/>
    <col min="8" max="8" width="12.5546875" bestFit="1" customWidth="1"/>
    <col min="9" max="9" width="12.77734375" bestFit="1" customWidth="1"/>
    <col min="10" max="10" width="12.6640625" bestFit="1" customWidth="1"/>
    <col min="12" max="12" width="12.5546875" bestFit="1" customWidth="1"/>
    <col min="13" max="13" width="13.44140625" bestFit="1" customWidth="1"/>
    <col min="14" max="14" width="12.6640625" bestFit="1" customWidth="1"/>
    <col min="16" max="16" width="11.6640625" bestFit="1" customWidth="1"/>
    <col min="17" max="17" width="12" bestFit="1" customWidth="1"/>
  </cols>
  <sheetData>
    <row r="1" spans="1:14" x14ac:dyDescent="0.3">
      <c r="A1" t="s">
        <v>1074</v>
      </c>
      <c r="E1" t="s">
        <v>1075</v>
      </c>
      <c r="I1" t="s">
        <v>1076</v>
      </c>
      <c r="M1" t="s">
        <v>1083</v>
      </c>
    </row>
    <row r="2" spans="1:14" x14ac:dyDescent="0.3">
      <c r="A2" s="11" t="s">
        <v>1072</v>
      </c>
      <c r="B2" t="s">
        <v>1071</v>
      </c>
      <c r="E2" s="11" t="s">
        <v>1072</v>
      </c>
      <c r="F2" t="s">
        <v>1071</v>
      </c>
      <c r="I2" s="11" t="s">
        <v>1072</v>
      </c>
      <c r="J2" t="s">
        <v>1071</v>
      </c>
      <c r="M2" s="11" t="s">
        <v>1072</v>
      </c>
      <c r="N2" t="s">
        <v>1071</v>
      </c>
    </row>
    <row r="3" spans="1:14" x14ac:dyDescent="0.3">
      <c r="A3" s="12" t="s">
        <v>43</v>
      </c>
      <c r="B3">
        <v>41812569.749999978</v>
      </c>
      <c r="E3" s="12" t="s">
        <v>19</v>
      </c>
      <c r="F3">
        <v>72648810.299999952</v>
      </c>
      <c r="I3" s="12" t="s">
        <v>34</v>
      </c>
      <c r="J3">
        <v>40673377.300000012</v>
      </c>
      <c r="M3" s="12" t="s">
        <v>1079</v>
      </c>
      <c r="N3">
        <v>5681560.1500000004</v>
      </c>
    </row>
    <row r="4" spans="1:14" x14ac:dyDescent="0.3">
      <c r="A4" s="12" t="s">
        <v>70</v>
      </c>
      <c r="B4">
        <v>53802543.900000006</v>
      </c>
      <c r="E4" s="12" t="s">
        <v>14</v>
      </c>
      <c r="F4">
        <v>64976355.649999991</v>
      </c>
      <c r="I4" s="12" t="s">
        <v>13</v>
      </c>
      <c r="J4">
        <v>40803061.04999999</v>
      </c>
      <c r="M4" s="12" t="s">
        <v>1080</v>
      </c>
      <c r="N4">
        <v>76208566.599999979</v>
      </c>
    </row>
    <row r="5" spans="1:14" x14ac:dyDescent="0.3">
      <c r="A5" s="12" t="s">
        <v>23</v>
      </c>
      <c r="B5">
        <v>61336096.399999984</v>
      </c>
      <c r="E5" s="12" t="s">
        <v>24</v>
      </c>
      <c r="F5">
        <v>79523028.049999952</v>
      </c>
      <c r="I5" s="12" t="s">
        <v>39</v>
      </c>
      <c r="J5">
        <v>43404867.499999993</v>
      </c>
      <c r="M5" s="12" t="s">
        <v>1081</v>
      </c>
      <c r="N5">
        <v>61830982.149999961</v>
      </c>
    </row>
    <row r="6" spans="1:14" x14ac:dyDescent="0.3">
      <c r="A6" s="12" t="s">
        <v>58</v>
      </c>
      <c r="B6">
        <v>60196983.949999996</v>
      </c>
      <c r="E6" s="12" t="s">
        <v>1073</v>
      </c>
      <c r="F6">
        <v>217148193.99999988</v>
      </c>
      <c r="I6" s="12" t="s">
        <v>18</v>
      </c>
      <c r="J6">
        <v>45903246.250000007</v>
      </c>
      <c r="M6" s="12" t="s">
        <v>1082</v>
      </c>
      <c r="N6">
        <v>73427085.099999964</v>
      </c>
    </row>
    <row r="7" spans="1:14" x14ac:dyDescent="0.3">
      <c r="A7" s="12" t="s">
        <v>1073</v>
      </c>
      <c r="B7">
        <v>217148193.99999994</v>
      </c>
      <c r="I7" s="12" t="s">
        <v>28</v>
      </c>
      <c r="J7">
        <v>46363641.899999991</v>
      </c>
      <c r="M7" s="12" t="s">
        <v>1073</v>
      </c>
      <c r="N7">
        <v>217148193.99999991</v>
      </c>
    </row>
    <row r="8" spans="1:14" x14ac:dyDescent="0.3">
      <c r="I8" s="12" t="s">
        <v>1073</v>
      </c>
      <c r="J8">
        <v>217148193.99999997</v>
      </c>
    </row>
    <row r="12" spans="1:14" x14ac:dyDescent="0.3">
      <c r="A12" t="s">
        <v>1086</v>
      </c>
      <c r="E12" t="s">
        <v>1087</v>
      </c>
      <c r="I12" t="s">
        <v>1092</v>
      </c>
    </row>
    <row r="13" spans="1:14" x14ac:dyDescent="0.3">
      <c r="A13" s="11" t="s">
        <v>1072</v>
      </c>
      <c r="B13" t="s">
        <v>1071</v>
      </c>
      <c r="E13" s="11" t="s">
        <v>1072</v>
      </c>
      <c r="F13" t="s">
        <v>1071</v>
      </c>
      <c r="I13" s="11" t="s">
        <v>1072</v>
      </c>
      <c r="J13" t="s">
        <v>1071</v>
      </c>
    </row>
    <row r="14" spans="1:14" x14ac:dyDescent="0.3">
      <c r="A14" s="12" t="s">
        <v>98</v>
      </c>
      <c r="B14">
        <v>7471714.3499999996</v>
      </c>
      <c r="E14" s="12" t="s">
        <v>71</v>
      </c>
      <c r="F14">
        <v>16557844.5</v>
      </c>
      <c r="I14" s="12" t="s">
        <v>69</v>
      </c>
      <c r="J14">
        <v>12054374.9</v>
      </c>
    </row>
    <row r="15" spans="1:14" x14ac:dyDescent="0.3">
      <c r="A15" s="12" t="s">
        <v>103</v>
      </c>
      <c r="B15">
        <v>7653711.0499999989</v>
      </c>
      <c r="I15" s="12" t="s">
        <v>91</v>
      </c>
      <c r="J15">
        <v>12189804.099999998</v>
      </c>
    </row>
    <row r="16" spans="1:14" x14ac:dyDescent="0.3">
      <c r="A16" s="12" t="s">
        <v>15</v>
      </c>
      <c r="B16">
        <v>11814435.15</v>
      </c>
      <c r="I16" s="12" t="s">
        <v>27</v>
      </c>
      <c r="J16">
        <v>13078638.150000002</v>
      </c>
    </row>
    <row r="17" spans="1:10" x14ac:dyDescent="0.3">
      <c r="A17" s="12" t="s">
        <v>40</v>
      </c>
      <c r="B17">
        <v>6583213.3500000006</v>
      </c>
      <c r="I17" s="12" t="s">
        <v>89</v>
      </c>
      <c r="J17">
        <v>13893137.449999997</v>
      </c>
    </row>
    <row r="18" spans="1:10" x14ac:dyDescent="0.3">
      <c r="A18" s="12" t="s">
        <v>51</v>
      </c>
      <c r="B18">
        <v>7375328.8000000007</v>
      </c>
      <c r="I18" s="12" t="s">
        <v>12</v>
      </c>
      <c r="J18">
        <v>14499788.049999997</v>
      </c>
    </row>
    <row r="19" spans="1:10" x14ac:dyDescent="0.3">
      <c r="A19" s="12" t="s">
        <v>73</v>
      </c>
      <c r="B19">
        <v>6557613.049999998</v>
      </c>
      <c r="E19" t="s">
        <v>1088</v>
      </c>
      <c r="I19" s="12" t="s">
        <v>1073</v>
      </c>
      <c r="J19">
        <v>65715742.649999991</v>
      </c>
    </row>
    <row r="20" spans="1:10" x14ac:dyDescent="0.3">
      <c r="A20" s="12" t="s">
        <v>156</v>
      </c>
      <c r="B20">
        <v>7620481.4500000002</v>
      </c>
      <c r="E20" s="11" t="s">
        <v>1072</v>
      </c>
      <c r="F20" t="s">
        <v>1071</v>
      </c>
    </row>
    <row r="21" spans="1:10" x14ac:dyDescent="0.3">
      <c r="A21" s="12" t="s">
        <v>66</v>
      </c>
      <c r="B21">
        <v>6737013.2999999998</v>
      </c>
      <c r="E21" s="12" t="s">
        <v>31</v>
      </c>
      <c r="F21">
        <v>4953743.05</v>
      </c>
    </row>
    <row r="22" spans="1:10" x14ac:dyDescent="0.3">
      <c r="A22" s="12" t="s">
        <v>25</v>
      </c>
      <c r="B22">
        <v>15237199.099999998</v>
      </c>
    </row>
    <row r="23" spans="1:10" x14ac:dyDescent="0.3">
      <c r="A23" s="12" t="s">
        <v>20</v>
      </c>
      <c r="B23">
        <v>6044088.1000000006</v>
      </c>
      <c r="I23" t="s">
        <v>1090</v>
      </c>
    </row>
    <row r="24" spans="1:10" x14ac:dyDescent="0.3">
      <c r="A24" s="12" t="s">
        <v>120</v>
      </c>
      <c r="B24">
        <v>6360838.2000000002</v>
      </c>
      <c r="I24" s="11" t="s">
        <v>1072</v>
      </c>
      <c r="J24" t="s">
        <v>1071</v>
      </c>
    </row>
    <row r="25" spans="1:10" x14ac:dyDescent="0.3">
      <c r="A25" s="12" t="s">
        <v>79</v>
      </c>
      <c r="B25">
        <v>9876692.5000000037</v>
      </c>
      <c r="I25" s="12" t="s">
        <v>12</v>
      </c>
      <c r="J25">
        <v>14499788.049999997</v>
      </c>
    </row>
    <row r="26" spans="1:10" x14ac:dyDescent="0.3">
      <c r="A26" s="12" t="s">
        <v>117</v>
      </c>
      <c r="B26">
        <v>5602371.1000000006</v>
      </c>
      <c r="E26" t="s">
        <v>1089</v>
      </c>
    </row>
    <row r="27" spans="1:10" x14ac:dyDescent="0.3">
      <c r="A27" s="12" t="s">
        <v>59</v>
      </c>
      <c r="B27">
        <v>9789306.1499999985</v>
      </c>
      <c r="E27" s="11" t="s">
        <v>1072</v>
      </c>
      <c r="F27" t="s">
        <v>1071</v>
      </c>
    </row>
    <row r="28" spans="1:10" x14ac:dyDescent="0.3">
      <c r="A28" s="12" t="s">
        <v>71</v>
      </c>
      <c r="B28">
        <v>16557844.5</v>
      </c>
      <c r="E28" s="12" t="s">
        <v>77</v>
      </c>
      <c r="F28">
        <v>12711506.800000003</v>
      </c>
    </row>
    <row r="29" spans="1:10" x14ac:dyDescent="0.3">
      <c r="A29" s="12" t="s">
        <v>29</v>
      </c>
      <c r="B29">
        <v>9668031.2500000019</v>
      </c>
      <c r="E29" s="12" t="s">
        <v>55</v>
      </c>
      <c r="F29">
        <v>12862118.150000002</v>
      </c>
    </row>
    <row r="30" spans="1:10" x14ac:dyDescent="0.3">
      <c r="A30" s="12" t="s">
        <v>55</v>
      </c>
      <c r="B30">
        <v>12862118.150000002</v>
      </c>
      <c r="E30" s="12" t="s">
        <v>53</v>
      </c>
      <c r="F30">
        <v>13775542.000000004</v>
      </c>
    </row>
    <row r="31" spans="1:10" x14ac:dyDescent="0.3">
      <c r="A31" s="12" t="s">
        <v>147</v>
      </c>
      <c r="B31">
        <v>6132165.1500000004</v>
      </c>
      <c r="E31" s="12" t="s">
        <v>25</v>
      </c>
      <c r="F31">
        <v>15237199.099999998</v>
      </c>
    </row>
    <row r="32" spans="1:10" x14ac:dyDescent="0.3">
      <c r="A32" s="12" t="s">
        <v>125</v>
      </c>
      <c r="B32">
        <v>9156805.8499999996</v>
      </c>
      <c r="E32" s="12" t="s">
        <v>71</v>
      </c>
      <c r="F32">
        <v>16557844.5</v>
      </c>
    </row>
    <row r="33" spans="1:6" x14ac:dyDescent="0.3">
      <c r="A33" s="12" t="s">
        <v>31</v>
      </c>
      <c r="B33">
        <v>4953743.05</v>
      </c>
      <c r="E33" s="12" t="s">
        <v>1073</v>
      </c>
      <c r="F33">
        <v>71144210.549999997</v>
      </c>
    </row>
    <row r="34" spans="1:6" x14ac:dyDescent="0.3">
      <c r="A34" s="12" t="s">
        <v>53</v>
      </c>
      <c r="B34">
        <v>13775542.000000004</v>
      </c>
    </row>
    <row r="35" spans="1:6" x14ac:dyDescent="0.3">
      <c r="A35" s="12" t="s">
        <v>46</v>
      </c>
      <c r="B35">
        <v>8202795.4000000004</v>
      </c>
    </row>
    <row r="36" spans="1:6" x14ac:dyDescent="0.3">
      <c r="A36" s="12" t="s">
        <v>1038</v>
      </c>
      <c r="B36">
        <v>8403636.1999999993</v>
      </c>
    </row>
    <row r="37" spans="1:6" x14ac:dyDescent="0.3">
      <c r="A37" s="12" t="s">
        <v>77</v>
      </c>
      <c r="B37">
        <v>12711506.800000003</v>
      </c>
    </row>
    <row r="38" spans="1:6" x14ac:dyDescent="0.3">
      <c r="A38" s="12" t="s">
        <v>1073</v>
      </c>
      <c r="B38">
        <v>217148194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4CEC-9892-4CCD-9459-67CB128E495D}">
  <sheetPr>
    <tabColor theme="9" tint="-0.249977111117893"/>
  </sheetPr>
  <dimension ref="J77:K82"/>
  <sheetViews>
    <sheetView tabSelected="1" view="pageBreakPreview" zoomScale="42" zoomScaleNormal="15" zoomScaleSheetLayoutView="42" workbookViewId="0">
      <selection activeCell="AF50" sqref="AF50"/>
    </sheetView>
  </sheetViews>
  <sheetFormatPr defaultRowHeight="14.4" x14ac:dyDescent="0.3"/>
  <sheetData>
    <row r="77" spans="10:10" x14ac:dyDescent="0.3">
      <c r="J77" s="14"/>
    </row>
    <row r="78" spans="10:10" x14ac:dyDescent="0.3">
      <c r="J78" s="14"/>
    </row>
    <row r="82" spans="11:11" x14ac:dyDescent="0.3">
      <c r="K82"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4C1520-9E80-4AE7-9AE7-A1D94B6574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clean_data</vt:lpstr>
      <vt:lpstr>cleaning_log</vt:lpstr>
      <vt:lpstr>Analysis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bhushan navale</dc:creator>
  <cp:lastModifiedBy>bhushan navale</cp:lastModifiedBy>
  <dcterms:created xsi:type="dcterms:W3CDTF">2026-06-28T07:34:19Z</dcterms:created>
  <dcterms:modified xsi:type="dcterms:W3CDTF">2026-08-31T21:11:43Z</dcterms:modified>
</cp:coreProperties>
</file>